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-vh" sheetId="1" state="visible" r:id="rId1"/>
    <sheet xmlns:r="http://schemas.openxmlformats.org/officeDocument/2006/relationships" name="re-vh2" sheetId="2" state="visible" r:id="rId2"/>
    <sheet xmlns:r="http://schemas.openxmlformats.org/officeDocument/2006/relationships" name="RE-JV" sheetId="3" state="visible" r:id="rId3"/>
    <sheet xmlns:r="http://schemas.openxmlformats.org/officeDocument/2006/relationships" name="RE-JV2" sheetId="4" state="visible" r:id="rId4"/>
    <sheet xmlns:r="http://schemas.openxmlformats.org/officeDocument/2006/relationships" name="VN-INDO" sheetId="5" state="visible" r:id="rId5"/>
    <sheet xmlns:r="http://schemas.openxmlformats.org/officeDocument/2006/relationships" name="QC" sheetId="6" state="visible" r:id="rId6"/>
    <sheet xmlns:r="http://schemas.openxmlformats.org/officeDocument/2006/relationships" name="M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8F9FA"/>
        <bgColor rgb="00F8F9FA"/>
      </patternFill>
    </fill>
    <fill>
      <patternFill patternType="solid">
        <fgColor rgb="00EAEEF7"/>
        <bgColor rgb="00EAEEF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8EA9DB"/>
      </top>
      <bottom style="double">
        <color rgb="001F4E7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2" pivotButton="0" quotePrefix="0" xfId="0"/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3" fontId="5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right" vertical="center"/>
    </xf>
    <xf numFmtId="0" fontId="6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6" customWidth="1" min="4" max="4"/>
    <col width="4" customWidth="1" min="5" max="5"/>
    <col width="30" customWidth="1" min="6" max="6"/>
    <col width="16" customWidth="1" min="7" max="7"/>
    <col width="16" customWidth="1" min="8" max="8"/>
    <col width="16" customWidth="1" min="9" max="9"/>
  </cols>
  <sheetData>
    <row r="2" ht="28" customHeight="1">
      <c r="A2" s="1" t="inlineStr">
        <is>
          <t>FACTORY AUDIT &amp; RE-INSPECTION DASHBOARD — VH (Vietnam Factory 1 (VH))</t>
        </is>
      </c>
    </row>
    <row r="4">
      <c r="A4" s="2" t="inlineStr">
        <is>
          <t>TOP DEFECTS ACROSS TOP 5 MODELS (QC + MA)</t>
        </is>
      </c>
      <c r="F4" s="2" t="inlineStr">
        <is>
          <t>QC AUDIT FAIL BY DESTINATION COUNTRY</t>
        </is>
      </c>
    </row>
    <row r="5" ht="22" customHeight="1">
      <c r="A5" s="3" t="inlineStr">
        <is>
          <t>Defect Name</t>
        </is>
      </c>
      <c r="B5" s="3" t="inlineStr">
        <is>
          <t>Original Metric</t>
        </is>
      </c>
      <c r="C5" s="3" t="inlineStr">
        <is>
          <t>Defect Qty</t>
        </is>
      </c>
      <c r="D5" s="3" t="inlineStr">
        <is>
          <t>Defect Share</t>
        </is>
      </c>
      <c r="F5" s="3" t="inlineStr">
        <is>
          <t>Country</t>
        </is>
      </c>
      <c r="G5" s="3" t="inlineStr">
        <is>
          <t>Fail Qty</t>
        </is>
      </c>
      <c r="H5" s="3" t="inlineStr">
        <is>
          <t>Total QC Fail</t>
        </is>
      </c>
      <c r="I5" s="3" t="inlineStr">
        <is>
          <t>Fail Share</t>
        </is>
      </c>
    </row>
    <row r="6" ht="20" customHeight="1">
      <c r="A6" s="4">
        <f>SUBSTITUTE(B6,"Sum of ","")</f>
        <v/>
      </c>
      <c r="B6" s="5" t="inlineStr">
        <is>
          <t>Sum of Cleanness</t>
        </is>
      </c>
      <c r="C6" s="6" t="n">
        <v>147</v>
      </c>
      <c r="D6" s="7" t="n">
        <v>0.1615384615384615</v>
      </c>
      <c r="F6" s="4" t="inlineStr">
        <is>
          <t>USA</t>
        </is>
      </c>
      <c r="G6" s="6" t="n">
        <v>136</v>
      </c>
      <c r="H6" s="6" t="n">
        <v>303</v>
      </c>
      <c r="I6" s="7">
        <f>G6/H6</f>
        <v/>
      </c>
    </row>
    <row r="7" ht="20" customHeight="1">
      <c r="A7" s="8">
        <f>SUBSTITUTE(B7,"Sum of ","")</f>
        <v/>
      </c>
      <c r="B7" s="9" t="inlineStr">
        <is>
          <t>Sum of Over cement</t>
        </is>
      </c>
      <c r="C7" s="10" t="n">
        <v>134</v>
      </c>
      <c r="D7" s="11" t="n">
        <v>0.1472527472527473</v>
      </c>
      <c r="F7" s="8" t="inlineStr">
        <is>
          <t>BELGIUM</t>
        </is>
      </c>
      <c r="G7" s="10" t="n">
        <v>58</v>
      </c>
      <c r="H7" s="10" t="n">
        <v>303</v>
      </c>
      <c r="I7" s="11">
        <f>G7/H7</f>
        <v/>
      </c>
    </row>
    <row r="8" ht="20" customHeight="1">
      <c r="A8" s="4">
        <f>SUBSTITUTE(B8,"Sum of ","")</f>
        <v/>
      </c>
      <c r="B8" s="5" t="inlineStr">
        <is>
          <t>Sum of Midsole/Outsole to upper bond gap</t>
        </is>
      </c>
      <c r="C8" s="6" t="n">
        <v>131</v>
      </c>
      <c r="D8" s="7" t="n">
        <v>0.1439560439560439</v>
      </c>
      <c r="F8" s="4" t="inlineStr">
        <is>
          <t>CHINA</t>
        </is>
      </c>
      <c r="G8" s="6" t="n">
        <v>30</v>
      </c>
      <c r="H8" s="6" t="n">
        <v>303</v>
      </c>
      <c r="I8" s="7">
        <f>G8/H8</f>
        <v/>
      </c>
    </row>
    <row r="9" ht="20" customHeight="1">
      <c r="A9" s="8">
        <f>SUBSTITUTE(B9,"Sum of ","")</f>
        <v/>
      </c>
      <c r="B9" s="9" t="inlineStr">
        <is>
          <t>Sum of Sole attachment</t>
        </is>
      </c>
      <c r="C9" s="10" t="n">
        <v>81</v>
      </c>
      <c r="D9" s="11" t="n">
        <v>0.08901098901098901</v>
      </c>
      <c r="F9" s="8" t="inlineStr">
        <is>
          <t>MEXICO</t>
        </is>
      </c>
      <c r="G9" s="10" t="n">
        <v>14</v>
      </c>
      <c r="H9" s="10" t="n">
        <v>303</v>
      </c>
      <c r="I9" s="11">
        <f>G9/H9</f>
        <v/>
      </c>
    </row>
    <row r="10" ht="20" customHeight="1">
      <c r="A10" s="4">
        <f>SUBSTITUTE(B10,"Sum of ","")</f>
        <v/>
      </c>
      <c r="B10" s="5" t="inlineStr">
        <is>
          <t>Sum of Thread end</t>
        </is>
      </c>
      <c r="C10" s="6" t="n">
        <v>44</v>
      </c>
      <c r="D10" s="7" t="n">
        <v>0.04835164835164835</v>
      </c>
      <c r="F10" s="4" t="inlineStr">
        <is>
          <t>JAPAN</t>
        </is>
      </c>
      <c r="G10" s="6" t="n">
        <v>12</v>
      </c>
      <c r="H10" s="6" t="n">
        <v>303</v>
      </c>
      <c r="I10" s="7">
        <f>G10/H10</f>
        <v/>
      </c>
    </row>
    <row r="11">
      <c r="A11" s="12" t="inlineStr">
        <is>
          <t>Top 5 Defects Total</t>
        </is>
      </c>
      <c r="B11" s="13" t="inlineStr"/>
      <c r="C11" s="14">
        <f>SUM(C6:C10)</f>
        <v/>
      </c>
      <c r="D11" s="15">
        <f>SUM(D6:D10)</f>
        <v/>
      </c>
      <c r="F11" s="4" t="inlineStr">
        <is>
          <t>OTHERS</t>
        </is>
      </c>
      <c r="G11" s="6">
        <f>H6-SUM(G6:G10)</f>
        <v/>
      </c>
      <c r="H11" s="6">
        <f>H6</f>
        <v/>
      </c>
      <c r="I11" s="7">
        <f>G11/H11</f>
        <v/>
      </c>
    </row>
    <row r="13">
      <c r="F13" s="2" t="inlineStr">
        <is>
          <t>TOP 5 FAILED MODELS (QC AUDIT)</t>
        </is>
      </c>
    </row>
    <row r="14" ht="22" customHeight="1">
      <c r="F14" s="3" t="inlineStr">
        <is>
          <t>Model Description</t>
        </is>
      </c>
      <c r="G14" s="3" t="inlineStr">
        <is>
          <t>Fail Qty</t>
        </is>
      </c>
      <c r="H14" s="3" t="inlineStr">
        <is>
          <t>Total QC Fail</t>
        </is>
      </c>
      <c r="I14" s="3" t="inlineStr">
        <is>
          <t>Fail Share</t>
        </is>
      </c>
    </row>
    <row r="15" ht="20" customHeight="1">
      <c r="F15" s="4" t="inlineStr">
        <is>
          <t>NIKE AIR WINFLO 12 (MS/WS)</t>
        </is>
      </c>
      <c r="G15" s="6" t="n">
        <v>24</v>
      </c>
      <c r="H15" s="6" t="n">
        <v>303</v>
      </c>
      <c r="I15" s="7">
        <f>G15/H15</f>
        <v/>
      </c>
    </row>
    <row r="16" ht="20" customHeight="1">
      <c r="F16" s="8" t="inlineStr">
        <is>
          <t>JORDAN SPIZIKE LOW (GS)</t>
        </is>
      </c>
      <c r="G16" s="10" t="n">
        <v>21</v>
      </c>
      <c r="H16" s="10" t="n">
        <v>303</v>
      </c>
      <c r="I16" s="11">
        <f>G16/H16</f>
        <v/>
      </c>
    </row>
    <row r="17" ht="20" customHeight="1">
      <c r="F17" s="4" t="inlineStr">
        <is>
          <t>NIKE SB FORCE 58</t>
        </is>
      </c>
      <c r="G17" s="6" t="n">
        <v>19</v>
      </c>
      <c r="H17" s="6" t="n">
        <v>303</v>
      </c>
      <c r="I17" s="7">
        <f>G17/H17</f>
        <v/>
      </c>
    </row>
    <row r="18" ht="20" customHeight="1">
      <c r="F18" s="8" t="inlineStr">
        <is>
          <t>AIR JORDAN 1 LOW SE (MS/WS)</t>
        </is>
      </c>
      <c r="G18" s="10" t="n">
        <v>17</v>
      </c>
      <c r="H18" s="10" t="n">
        <v>303</v>
      </c>
      <c r="I18" s="11">
        <f>G18/H18</f>
        <v/>
      </c>
    </row>
    <row r="19" ht="20" customHeight="1">
      <c r="F19" s="4" t="inlineStr">
        <is>
          <t>JORDAN TRUE FLIGHT (MS)</t>
        </is>
      </c>
      <c r="G19" s="6" t="n">
        <v>14</v>
      </c>
      <c r="H19" s="6" t="n">
        <v>303</v>
      </c>
      <c r="I19" s="7">
        <f>G19/H19</f>
        <v/>
      </c>
    </row>
  </sheetData>
  <mergeCells count="4">
    <mergeCell ref="F13:I13"/>
    <mergeCell ref="A4:D4"/>
    <mergeCell ref="F4:I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6" customWidth="1" min="4" max="4"/>
    <col width="4" customWidth="1" min="5" max="5"/>
    <col width="30" customWidth="1" min="6" max="6"/>
    <col width="16" customWidth="1" min="7" max="7"/>
    <col width="16" customWidth="1" min="8" max="8"/>
    <col width="16" customWidth="1" min="9" max="9"/>
  </cols>
  <sheetData>
    <row r="2" ht="28" customHeight="1">
      <c r="A2" s="1" t="inlineStr">
        <is>
          <t>FACTORY AUDIT &amp; RE-INSPECTION DASHBOARD — VH2 (Vietnam Factory 2 (VH2))</t>
        </is>
      </c>
    </row>
    <row r="4">
      <c r="A4" s="2" t="inlineStr">
        <is>
          <t>TOP DEFECTS ACROSS TOP 5 MODELS (QC + MA)</t>
        </is>
      </c>
      <c r="F4" s="2" t="inlineStr">
        <is>
          <t>QC AUDIT FAIL BY DESTINATION COUNTRY</t>
        </is>
      </c>
    </row>
    <row r="5" ht="22" customHeight="1">
      <c r="A5" s="3" t="inlineStr">
        <is>
          <t>Defect Name</t>
        </is>
      </c>
      <c r="B5" s="3" t="inlineStr">
        <is>
          <t>Original Metric</t>
        </is>
      </c>
      <c r="C5" s="3" t="inlineStr">
        <is>
          <t>Defect Qty</t>
        </is>
      </c>
      <c r="D5" s="3" t="inlineStr">
        <is>
          <t>Defect Share</t>
        </is>
      </c>
      <c r="F5" s="3" t="inlineStr">
        <is>
          <t>Country</t>
        </is>
      </c>
      <c r="G5" s="3" t="inlineStr">
        <is>
          <t>Fail Qty</t>
        </is>
      </c>
      <c r="H5" s="3" t="inlineStr">
        <is>
          <t>Total QC Fail</t>
        </is>
      </c>
      <c r="I5" s="3" t="inlineStr">
        <is>
          <t>Fail Share</t>
        </is>
      </c>
    </row>
    <row r="6" ht="20" customHeight="1">
      <c r="A6" s="4">
        <f>SUBSTITUTE(B6,"Sum of ","")</f>
        <v/>
      </c>
      <c r="B6" s="5" t="inlineStr">
        <is>
          <t>Sum of Over cement</t>
        </is>
      </c>
      <c r="C6" s="6" t="n">
        <v>48</v>
      </c>
      <c r="D6" s="7" t="n">
        <v>0.25</v>
      </c>
      <c r="F6" s="4" t="inlineStr">
        <is>
          <t>USA</t>
        </is>
      </c>
      <c r="G6" s="6" t="n">
        <v>10</v>
      </c>
      <c r="H6" s="6" t="n">
        <v>34</v>
      </c>
      <c r="I6" s="7">
        <f>G6/H6</f>
        <v/>
      </c>
    </row>
    <row r="7" ht="20" customHeight="1">
      <c r="A7" s="8">
        <f>SUBSTITUTE(B7,"Sum of ","")</f>
        <v/>
      </c>
      <c r="B7" s="9" t="inlineStr">
        <is>
          <t>Sum of Midsole/Outsole to upper bond gap</t>
        </is>
      </c>
      <c r="C7" s="10" t="n">
        <v>46</v>
      </c>
      <c r="D7" s="11" t="n">
        <v>0.2395833333333333</v>
      </c>
      <c r="F7" s="8" t="inlineStr">
        <is>
          <t>BELGIUM</t>
        </is>
      </c>
      <c r="G7" s="10" t="n">
        <v>5</v>
      </c>
      <c r="H7" s="10" t="n">
        <v>34</v>
      </c>
      <c r="I7" s="11">
        <f>G7/H7</f>
        <v/>
      </c>
    </row>
    <row r="8" ht="20" customHeight="1">
      <c r="A8" s="4">
        <f>SUBSTITUTE(B8,"Sum of ","")</f>
        <v/>
      </c>
      <c r="B8" s="5" t="inlineStr">
        <is>
          <t>Sum of Cleanness</t>
        </is>
      </c>
      <c r="C8" s="6" t="n">
        <v>29</v>
      </c>
      <c r="D8" s="7" t="n">
        <v>0.1510416666666667</v>
      </c>
      <c r="F8" s="4" t="inlineStr">
        <is>
          <t>JAPAN</t>
        </is>
      </c>
      <c r="G8" s="6" t="n">
        <v>5</v>
      </c>
      <c r="H8" s="6" t="n">
        <v>34</v>
      </c>
      <c r="I8" s="7">
        <f>G8/H8</f>
        <v/>
      </c>
    </row>
    <row r="9" ht="20" customHeight="1">
      <c r="A9" s="8">
        <f>SUBSTITUTE(B9,"Sum of ","")</f>
        <v/>
      </c>
      <c r="B9" s="9" t="inlineStr">
        <is>
          <t>Sum of Others</t>
        </is>
      </c>
      <c r="C9" s="10" t="n">
        <v>17</v>
      </c>
      <c r="D9" s="11" t="n">
        <v>0.08854166666666667</v>
      </c>
      <c r="F9" s="8" t="inlineStr">
        <is>
          <t>CHINA</t>
        </is>
      </c>
      <c r="G9" s="10" t="n">
        <v>4</v>
      </c>
      <c r="H9" s="10" t="n">
        <v>34</v>
      </c>
      <c r="I9" s="11">
        <f>G9/H9</f>
        <v/>
      </c>
    </row>
    <row r="10" ht="20" customHeight="1">
      <c r="A10" s="4">
        <f>SUBSTITUTE(B10,"Sum of ","")</f>
        <v/>
      </c>
      <c r="B10" s="5" t="inlineStr">
        <is>
          <t>Sum of Thread end</t>
        </is>
      </c>
      <c r="C10" s="6" t="n">
        <v>16</v>
      </c>
      <c r="D10" s="7" t="n">
        <v>0.08333333333333333</v>
      </c>
      <c r="F10" s="4" t="inlineStr">
        <is>
          <t>INDIA</t>
        </is>
      </c>
      <c r="G10" s="6" t="n">
        <v>2</v>
      </c>
      <c r="H10" s="6" t="n">
        <v>34</v>
      </c>
      <c r="I10" s="7">
        <f>G10/H10</f>
        <v/>
      </c>
    </row>
    <row r="11">
      <c r="A11" s="12" t="inlineStr">
        <is>
          <t>Top 5 Defects Total</t>
        </is>
      </c>
      <c r="B11" s="13" t="inlineStr"/>
      <c r="C11" s="14">
        <f>SUM(C6:C10)</f>
        <v/>
      </c>
      <c r="D11" s="15">
        <f>SUM(D6:D10)</f>
        <v/>
      </c>
      <c r="F11" s="4" t="inlineStr">
        <is>
          <t>OTHERS</t>
        </is>
      </c>
      <c r="G11" s="6">
        <f>H6-SUM(G6:G10)</f>
        <v/>
      </c>
      <c r="H11" s="6">
        <f>H6</f>
        <v/>
      </c>
      <c r="I11" s="7">
        <f>G11/H11</f>
        <v/>
      </c>
    </row>
    <row r="13">
      <c r="F13" s="2" t="inlineStr">
        <is>
          <t>TOP 5 FAILED MODELS (QC AUDIT)</t>
        </is>
      </c>
    </row>
    <row r="14" ht="22" customHeight="1">
      <c r="F14" s="3" t="inlineStr">
        <is>
          <t>Model Description</t>
        </is>
      </c>
      <c r="G14" s="3" t="inlineStr">
        <is>
          <t>Fail Qty</t>
        </is>
      </c>
      <c r="H14" s="3" t="inlineStr">
        <is>
          <t>Total QC Fail</t>
        </is>
      </c>
      <c r="I14" s="3" t="inlineStr">
        <is>
          <t>Fail Share</t>
        </is>
      </c>
    </row>
    <row r="15" ht="20" customHeight="1">
      <c r="F15" s="4" t="inlineStr">
        <is>
          <t>NIKE AIR MAX EXCEE (MS/WS)</t>
        </is>
      </c>
      <c r="G15" s="6" t="n">
        <v>6</v>
      </c>
      <c r="H15" s="6" t="n">
        <v>34</v>
      </c>
      <c r="I15" s="7">
        <f>G15/H15</f>
        <v/>
      </c>
    </row>
    <row r="16" ht="20" customHeight="1">
      <c r="F16" s="8" t="inlineStr">
        <is>
          <t>NIKE UPLIFT SC (MS/WS)</t>
        </is>
      </c>
      <c r="G16" s="10" t="n">
        <v>5</v>
      </c>
      <c r="H16" s="10" t="n">
        <v>34</v>
      </c>
      <c r="I16" s="11">
        <f>G16/H16</f>
        <v/>
      </c>
    </row>
    <row r="17" ht="20" customHeight="1">
      <c r="F17" s="4" t="inlineStr">
        <is>
          <t>NIKE RUN DEFY (MS/WS)</t>
        </is>
      </c>
      <c r="G17" s="6" t="n">
        <v>4</v>
      </c>
      <c r="H17" s="6" t="n">
        <v>34</v>
      </c>
      <c r="I17" s="7">
        <f>G17/H17</f>
        <v/>
      </c>
    </row>
    <row r="18" ht="20" customHeight="1">
      <c r="F18" s="8" t="inlineStr">
        <is>
          <t>NIKE AIR WINFLO 12 GTX (MS/WS)</t>
        </is>
      </c>
      <c r="G18" s="10" t="n">
        <v>4</v>
      </c>
      <c r="H18" s="10" t="n">
        <v>34</v>
      </c>
      <c r="I18" s="11">
        <f>G18/H18</f>
        <v/>
      </c>
    </row>
    <row r="19" ht="20" customHeight="1">
      <c r="F19" s="4" t="inlineStr">
        <is>
          <t>NIKE INITIATOR (MS/WS)</t>
        </is>
      </c>
      <c r="G19" s="6" t="n">
        <v>3</v>
      </c>
      <c r="H19" s="6" t="n">
        <v>34</v>
      </c>
      <c r="I19" s="7">
        <f>G19/H19</f>
        <v/>
      </c>
    </row>
  </sheetData>
  <mergeCells count="4">
    <mergeCell ref="F13:I13"/>
    <mergeCell ref="A4:D4"/>
    <mergeCell ref="F4:I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6" customWidth="1" min="4" max="4"/>
    <col width="4" customWidth="1" min="5" max="5"/>
    <col width="30" customWidth="1" min="6" max="6"/>
    <col width="16" customWidth="1" min="7" max="7"/>
    <col width="16" customWidth="1" min="8" max="8"/>
    <col width="16" customWidth="1" min="9" max="9"/>
  </cols>
  <sheetData>
    <row r="2" ht="28" customHeight="1">
      <c r="A2" s="1" t="inlineStr">
        <is>
          <t>FACTORY AUDIT &amp; RE-INSPECTION DASHBOARD — JV (Indonesia Factory 1 (JV))</t>
        </is>
      </c>
    </row>
    <row r="4">
      <c r="A4" s="2" t="inlineStr">
        <is>
          <t>TOP DEFECTS ACROSS TOP 5 MODELS (QC + MA)</t>
        </is>
      </c>
      <c r="F4" s="2" t="inlineStr">
        <is>
          <t>QC AUDIT FAIL BY DESTINATION COUNTRY</t>
        </is>
      </c>
    </row>
    <row r="5" ht="22" customHeight="1">
      <c r="A5" s="3" t="inlineStr">
        <is>
          <t>Defect Name</t>
        </is>
      </c>
      <c r="B5" s="3" t="inlineStr">
        <is>
          <t>Original Metric</t>
        </is>
      </c>
      <c r="C5" s="3" t="inlineStr">
        <is>
          <t>Defect Qty</t>
        </is>
      </c>
      <c r="D5" s="3" t="inlineStr">
        <is>
          <t>Defect Share</t>
        </is>
      </c>
      <c r="F5" s="3" t="inlineStr">
        <is>
          <t>Country</t>
        </is>
      </c>
      <c r="G5" s="3" t="inlineStr">
        <is>
          <t>Fail Qty</t>
        </is>
      </c>
      <c r="H5" s="3" t="inlineStr">
        <is>
          <t>Total QC Fail</t>
        </is>
      </c>
      <c r="I5" s="3" t="inlineStr">
        <is>
          <t>Fail Share</t>
        </is>
      </c>
    </row>
    <row r="6" ht="20" customHeight="1">
      <c r="A6" s="4">
        <f>SUBSTITUTE(B6,"Sum of ","")</f>
        <v/>
      </c>
      <c r="B6" s="5" t="inlineStr">
        <is>
          <t>Sum of Midsole/Outsole to upper bond gap</t>
        </is>
      </c>
      <c r="C6" s="6" t="n">
        <v>292</v>
      </c>
      <c r="D6" s="7" t="n">
        <v>0.2022160664819945</v>
      </c>
      <c r="F6" s="4" t="inlineStr">
        <is>
          <t>USA</t>
        </is>
      </c>
      <c r="G6" s="6" t="n">
        <v>40</v>
      </c>
      <c r="H6" s="6" t="n">
        <v>86</v>
      </c>
      <c r="I6" s="7">
        <f>G6/H6</f>
        <v/>
      </c>
    </row>
    <row r="7" ht="20" customHeight="1">
      <c r="A7" s="8">
        <f>SUBSTITUTE(B7,"Sum of ","")</f>
        <v/>
      </c>
      <c r="B7" s="9" t="inlineStr">
        <is>
          <t>Sum of Over cement</t>
        </is>
      </c>
      <c r="C7" s="10" t="n">
        <v>274</v>
      </c>
      <c r="D7" s="11" t="n">
        <v>0.1897506925207756</v>
      </c>
      <c r="F7" s="8" t="inlineStr">
        <is>
          <t>BELGIUM</t>
        </is>
      </c>
      <c r="G7" s="10" t="n">
        <v>14</v>
      </c>
      <c r="H7" s="10" t="n">
        <v>86</v>
      </c>
      <c r="I7" s="11">
        <f>G7/H7</f>
        <v/>
      </c>
    </row>
    <row r="8" ht="20" customHeight="1">
      <c r="A8" s="4">
        <f>SUBSTITUTE(B8,"Sum of ","")</f>
        <v/>
      </c>
      <c r="B8" s="5" t="inlineStr">
        <is>
          <t>Sum of Cleanness</t>
        </is>
      </c>
      <c r="C8" s="6" t="n">
        <v>253</v>
      </c>
      <c r="D8" s="7" t="n">
        <v>0.175207756232687</v>
      </c>
      <c r="F8" s="4" t="inlineStr">
        <is>
          <t>CHINA</t>
        </is>
      </c>
      <c r="G8" s="6" t="n">
        <v>8</v>
      </c>
      <c r="H8" s="6" t="n">
        <v>86</v>
      </c>
      <c r="I8" s="7">
        <f>G8/H8</f>
        <v/>
      </c>
    </row>
    <row r="9" ht="20" customHeight="1">
      <c r="A9" s="8">
        <f>SUBSTITUTE(B9,"Sum of ","")</f>
        <v/>
      </c>
      <c r="B9" s="9" t="inlineStr">
        <is>
          <t>Sum of Thread end</t>
        </is>
      </c>
      <c r="C9" s="10" t="n">
        <v>188</v>
      </c>
      <c r="D9" s="11" t="n">
        <v>0.1301939058171745</v>
      </c>
      <c r="F9" s="8" t="inlineStr">
        <is>
          <t>SOUTH KOREA</t>
        </is>
      </c>
      <c r="G9" s="10" t="n">
        <v>7</v>
      </c>
      <c r="H9" s="10" t="n">
        <v>86</v>
      </c>
      <c r="I9" s="11">
        <f>G9/H9</f>
        <v/>
      </c>
    </row>
    <row r="10" ht="20" customHeight="1">
      <c r="A10" s="4">
        <f>SUBSTITUTE(B10,"Sum of ","")</f>
        <v/>
      </c>
      <c r="B10" s="5" t="inlineStr">
        <is>
          <t>Sum of Sole attachment</t>
        </is>
      </c>
      <c r="C10" s="6" t="n">
        <v>56</v>
      </c>
      <c r="D10" s="7" t="n">
        <v>0.03878116343490304</v>
      </c>
      <c r="F10" s="4" t="inlineStr">
        <is>
          <t>CANADA</t>
        </is>
      </c>
      <c r="G10" s="6" t="n">
        <v>4</v>
      </c>
      <c r="H10" s="6" t="n">
        <v>86</v>
      </c>
      <c r="I10" s="7">
        <f>G10/H10</f>
        <v/>
      </c>
    </row>
    <row r="11">
      <c r="A11" s="12" t="inlineStr">
        <is>
          <t>Top 5 Defects Total</t>
        </is>
      </c>
      <c r="B11" s="13" t="inlineStr"/>
      <c r="C11" s="14">
        <f>SUM(C6:C10)</f>
        <v/>
      </c>
      <c r="D11" s="15">
        <f>SUM(D6:D10)</f>
        <v/>
      </c>
      <c r="F11" s="4" t="inlineStr">
        <is>
          <t>OTHERS</t>
        </is>
      </c>
      <c r="G11" s="6">
        <f>H6-SUM(G6:G10)</f>
        <v/>
      </c>
      <c r="H11" s="6">
        <f>H6</f>
        <v/>
      </c>
      <c r="I11" s="7">
        <f>G11/H11</f>
        <v/>
      </c>
    </row>
    <row r="13">
      <c r="F13" s="2" t="inlineStr">
        <is>
          <t>TOP 5 FAILED MODELS (QC AUDIT)</t>
        </is>
      </c>
    </row>
    <row r="14" ht="22" customHeight="1">
      <c r="F14" s="3" t="inlineStr">
        <is>
          <t>Model Description</t>
        </is>
      </c>
      <c r="G14" s="3" t="inlineStr">
        <is>
          <t>Fail Qty</t>
        </is>
      </c>
      <c r="H14" s="3" t="inlineStr">
        <is>
          <t>Total QC Fail</t>
        </is>
      </c>
      <c r="I14" s="3" t="inlineStr">
        <is>
          <t>Fail Share</t>
        </is>
      </c>
    </row>
    <row r="15" ht="20" customHeight="1">
      <c r="F15" s="4" t="inlineStr">
        <is>
          <t>NIKE EBERNON LOW (MS/WS)</t>
        </is>
      </c>
      <c r="G15" s="6" t="n">
        <v>23</v>
      </c>
      <c r="H15" s="6" t="n">
        <v>86</v>
      </c>
      <c r="I15" s="7">
        <f>G15/H15</f>
        <v/>
      </c>
    </row>
    <row r="16" ht="20" customHeight="1">
      <c r="F16" s="8" t="inlineStr">
        <is>
          <t>NIKE INITIATOR (MS/WS)</t>
        </is>
      </c>
      <c r="G16" s="10" t="n">
        <v>15</v>
      </c>
      <c r="H16" s="10" t="n">
        <v>86</v>
      </c>
      <c r="I16" s="11">
        <f>G16/H16</f>
        <v/>
      </c>
    </row>
    <row r="17" ht="20" customHeight="1">
      <c r="F17" s="4" t="inlineStr">
        <is>
          <t>NIKE AIR MAX MOTION 2 (MS/WS)</t>
        </is>
      </c>
      <c r="G17" s="6" t="n">
        <v>13</v>
      </c>
      <c r="H17" s="6" t="n">
        <v>86</v>
      </c>
      <c r="I17" s="7">
        <f>G17/H17</f>
        <v/>
      </c>
    </row>
    <row r="18" ht="20" customHeight="1">
      <c r="F18" s="8" t="inlineStr">
        <is>
          <t>NIKE COURT BOROUGH MID (PSV)</t>
        </is>
      </c>
      <c r="G18" s="10" t="n">
        <v>10</v>
      </c>
      <c r="H18" s="10" t="n">
        <v>86</v>
      </c>
      <c r="I18" s="11">
        <f>G18/H18</f>
        <v/>
      </c>
    </row>
    <row r="19" ht="20" customHeight="1">
      <c r="F19" s="4" t="inlineStr">
        <is>
          <t>NIKE AIR MAX SC (MS/WS)</t>
        </is>
      </c>
      <c r="G19" s="6" t="n">
        <v>8</v>
      </c>
      <c r="H19" s="6" t="n">
        <v>86</v>
      </c>
      <c r="I19" s="7">
        <f>G19/H19</f>
        <v/>
      </c>
    </row>
  </sheetData>
  <mergeCells count="4">
    <mergeCell ref="F13:I13"/>
    <mergeCell ref="A4:D4"/>
    <mergeCell ref="F4:I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6" customWidth="1" min="4" max="4"/>
    <col width="4" customWidth="1" min="5" max="5"/>
    <col width="30" customWidth="1" min="6" max="6"/>
    <col width="16" customWidth="1" min="7" max="7"/>
    <col width="16" customWidth="1" min="8" max="8"/>
    <col width="16" customWidth="1" min="9" max="9"/>
  </cols>
  <sheetData>
    <row r="2" ht="28" customHeight="1">
      <c r="A2" s="1" t="inlineStr">
        <is>
          <t>FACTORY AUDIT &amp; RE-INSPECTION DASHBOARD — JV2 (Indonesia Factory 2 (JV2))</t>
        </is>
      </c>
    </row>
    <row r="4">
      <c r="A4" s="2" t="inlineStr">
        <is>
          <t>TOP DEFECTS ACROSS TOP 5 MODELS (QC + MA)</t>
        </is>
      </c>
      <c r="F4" s="2" t="inlineStr">
        <is>
          <t>QC AUDIT FAIL BY DESTINATION COUNTRY</t>
        </is>
      </c>
    </row>
    <row r="5" ht="22" customHeight="1">
      <c r="A5" s="3" t="inlineStr">
        <is>
          <t>Defect Name</t>
        </is>
      </c>
      <c r="B5" s="3" t="inlineStr">
        <is>
          <t>Original Metric</t>
        </is>
      </c>
      <c r="C5" s="3" t="inlineStr">
        <is>
          <t>Defect Qty</t>
        </is>
      </c>
      <c r="D5" s="3" t="inlineStr">
        <is>
          <t>Defect Share</t>
        </is>
      </c>
      <c r="F5" s="3" t="inlineStr">
        <is>
          <t>Country</t>
        </is>
      </c>
      <c r="G5" s="3" t="inlineStr">
        <is>
          <t>Fail Qty</t>
        </is>
      </c>
      <c r="H5" s="3" t="inlineStr">
        <is>
          <t>Total QC Fail</t>
        </is>
      </c>
      <c r="I5" s="3" t="inlineStr">
        <is>
          <t>Fail Share</t>
        </is>
      </c>
    </row>
    <row r="6" ht="20" customHeight="1">
      <c r="A6" s="4">
        <f>SUBSTITUTE(B6,"Sum of ","")</f>
        <v/>
      </c>
      <c r="B6" s="5" t="inlineStr">
        <is>
          <t>Sum of Over cement</t>
        </is>
      </c>
      <c r="C6" s="6" t="n">
        <v>336</v>
      </c>
      <c r="D6" s="7" t="n">
        <v>0.2162162162162162</v>
      </c>
      <c r="F6" s="4" t="inlineStr">
        <is>
          <t>USA</t>
        </is>
      </c>
      <c r="G6" s="6" t="n">
        <v>205</v>
      </c>
      <c r="H6" s="6" t="n">
        <v>475</v>
      </c>
      <c r="I6" s="7">
        <f>G6/H6</f>
        <v/>
      </c>
    </row>
    <row r="7" ht="20" customHeight="1">
      <c r="A7" s="8">
        <f>SUBSTITUTE(B7,"Sum of ","")</f>
        <v/>
      </c>
      <c r="B7" s="9" t="inlineStr">
        <is>
          <t>Sum of Cleanness</t>
        </is>
      </c>
      <c r="C7" s="10" t="n">
        <v>303</v>
      </c>
      <c r="D7" s="11" t="n">
        <v>0.194980694980695</v>
      </c>
      <c r="F7" s="8" t="inlineStr">
        <is>
          <t>BELGIUM</t>
        </is>
      </c>
      <c r="G7" s="10" t="n">
        <v>97</v>
      </c>
      <c r="H7" s="10" t="n">
        <v>475</v>
      </c>
      <c r="I7" s="11">
        <f>G7/H7</f>
        <v/>
      </c>
    </row>
    <row r="8" ht="20" customHeight="1">
      <c r="A8" s="4">
        <f>SUBSTITUTE(B8,"Sum of ","")</f>
        <v/>
      </c>
      <c r="B8" s="5" t="inlineStr">
        <is>
          <t>Sum of Midsole/Outsole to upper bond gap</t>
        </is>
      </c>
      <c r="C8" s="6" t="n">
        <v>195</v>
      </c>
      <c r="D8" s="7" t="n">
        <v>0.1254826254826255</v>
      </c>
      <c r="F8" s="4" t="inlineStr">
        <is>
          <t>UNITED KINGDOM</t>
        </is>
      </c>
      <c r="G8" s="6" t="n">
        <v>21</v>
      </c>
      <c r="H8" s="6" t="n">
        <v>475</v>
      </c>
      <c r="I8" s="7">
        <f>G8/H8</f>
        <v/>
      </c>
    </row>
    <row r="9" ht="20" customHeight="1">
      <c r="A9" s="8">
        <f>SUBSTITUTE(B9,"Sum of ","")</f>
        <v/>
      </c>
      <c r="B9" s="9" t="inlineStr">
        <is>
          <t>Sum of Thread end</t>
        </is>
      </c>
      <c r="C9" s="10" t="n">
        <v>171</v>
      </c>
      <c r="D9" s="11" t="n">
        <v>0.11003861003861</v>
      </c>
      <c r="F9" s="8" t="inlineStr">
        <is>
          <t>CANADA</t>
        </is>
      </c>
      <c r="G9" s="10" t="n">
        <v>20</v>
      </c>
      <c r="H9" s="10" t="n">
        <v>475</v>
      </c>
      <c r="I9" s="11">
        <f>G9/H9</f>
        <v/>
      </c>
    </row>
    <row r="10" ht="20" customHeight="1">
      <c r="A10" s="4">
        <f>SUBSTITUTE(B10,"Sum of ","")</f>
        <v/>
      </c>
      <c r="B10" s="5" t="inlineStr">
        <is>
          <t>Sum of Toe off center</t>
        </is>
      </c>
      <c r="C10" s="6" t="n">
        <v>82</v>
      </c>
      <c r="D10" s="7" t="n">
        <v>0.05276705276705277</v>
      </c>
      <c r="F10" s="4" t="inlineStr">
        <is>
          <t>MEXICO</t>
        </is>
      </c>
      <c r="G10" s="6" t="n">
        <v>20</v>
      </c>
      <c r="H10" s="6" t="n">
        <v>475</v>
      </c>
      <c r="I10" s="7">
        <f>G10/H10</f>
        <v/>
      </c>
    </row>
    <row r="11">
      <c r="A11" s="12" t="inlineStr">
        <is>
          <t>Top 5 Defects Total</t>
        </is>
      </c>
      <c r="B11" s="13" t="inlineStr"/>
      <c r="C11" s="14">
        <f>SUM(C6:C10)</f>
        <v/>
      </c>
      <c r="D11" s="15">
        <f>SUM(D6:D10)</f>
        <v/>
      </c>
      <c r="F11" s="4" t="inlineStr">
        <is>
          <t>OTHERS</t>
        </is>
      </c>
      <c r="G11" s="6">
        <f>H6-SUM(G6:G10)</f>
        <v/>
      </c>
      <c r="H11" s="6">
        <f>H6</f>
        <v/>
      </c>
      <c r="I11" s="7">
        <f>G11/H11</f>
        <v/>
      </c>
    </row>
    <row r="13">
      <c r="F13" s="2" t="inlineStr">
        <is>
          <t>TOP 5 FAILED MODELS (QC AUDIT)</t>
        </is>
      </c>
    </row>
    <row r="14" ht="22" customHeight="1">
      <c r="F14" s="3" t="inlineStr">
        <is>
          <t>Model Description</t>
        </is>
      </c>
      <c r="G14" s="3" t="inlineStr">
        <is>
          <t>Fail Qty</t>
        </is>
      </c>
      <c r="H14" s="3" t="inlineStr">
        <is>
          <t>Total QC Fail</t>
        </is>
      </c>
      <c r="I14" s="3" t="inlineStr">
        <is>
          <t>Fail Share</t>
        </is>
      </c>
    </row>
    <row r="15" ht="20" customHeight="1">
      <c r="F15" s="4" t="inlineStr">
        <is>
          <t>NIKE COURT VISION LOW (MS/WS)</t>
        </is>
      </c>
      <c r="G15" s="6" t="n">
        <v>96</v>
      </c>
      <c r="H15" s="6" t="n">
        <v>475</v>
      </c>
      <c r="I15" s="7">
        <f>G15/H15</f>
        <v/>
      </c>
    </row>
    <row r="16" ht="20" customHeight="1">
      <c r="F16" s="8" t="inlineStr">
        <is>
          <t>JORDAN 1 MID SE (PS/TD)</t>
        </is>
      </c>
      <c r="G16" s="10" t="n">
        <v>53</v>
      </c>
      <c r="H16" s="10" t="n">
        <v>475</v>
      </c>
      <c r="I16" s="11">
        <f>G16/H16</f>
        <v/>
      </c>
    </row>
    <row r="17" ht="20" customHeight="1">
      <c r="F17" s="4" t="inlineStr">
        <is>
          <t>AIR JORDAN 1 MID SE (GS)</t>
        </is>
      </c>
      <c r="G17" s="6" t="n">
        <v>50</v>
      </c>
      <c r="H17" s="6" t="n">
        <v>475</v>
      </c>
      <c r="I17" s="7">
        <f>G17/H17</f>
        <v/>
      </c>
    </row>
    <row r="18" ht="20" customHeight="1">
      <c r="F18" s="8" t="inlineStr">
        <is>
          <t>NIKE INITIATOR (MS/WS)</t>
        </is>
      </c>
      <c r="G18" s="10" t="n">
        <v>40</v>
      </c>
      <c r="H18" s="10" t="n">
        <v>475</v>
      </c>
      <c r="I18" s="11">
        <f>G18/H18</f>
        <v/>
      </c>
    </row>
    <row r="19" ht="20" customHeight="1">
      <c r="F19" s="4" t="inlineStr">
        <is>
          <t>JORDAN 1 LOW ALT (PS)</t>
        </is>
      </c>
      <c r="G19" s="6" t="n">
        <v>34</v>
      </c>
      <c r="H19" s="6" t="n">
        <v>475</v>
      </c>
      <c r="I19" s="7">
        <f>G19/H19</f>
        <v/>
      </c>
    </row>
  </sheetData>
  <mergeCells count="4">
    <mergeCell ref="F13:I13"/>
    <mergeCell ref="A4:D4"/>
    <mergeCell ref="F4:I4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2:J15"/>
  <sheetViews>
    <sheetView showGridLines="1" workbookViewId="0">
      <selection activeCell="A1" sqref="A1"/>
    </sheetView>
  </sheetViews>
  <sheetFormatPr baseColWidth="8" defaultRowHeight="15"/>
  <cols>
    <col width="4" customWidth="1" min="2" max="2"/>
    <col width="22" customWidth="1" min="3" max="3"/>
    <col width="18" customWidth="1" min="4" max="4"/>
    <col width="18" customWidth="1" min="5" max="5"/>
    <col width="18" customWidth="1" min="6" max="6"/>
    <col width="6" customWidth="1" min="7" max="7"/>
    <col width="20" customWidth="1" min="8" max="8"/>
    <col width="18" customWidth="1" min="9" max="9"/>
    <col width="18" customWidth="1" min="10" max="10"/>
  </cols>
  <sheetData>
    <row r="2" ht="28" customHeight="1">
      <c r="C2" s="1" t="inlineStr">
        <is>
          <t>EXECUTIVE REGIONAL AUDIT SUMMARY — VIETNAM vs INDONESIA</t>
        </is>
      </c>
    </row>
    <row r="4">
      <c r="C4" s="2" t="inlineStr">
        <is>
          <t>VIETNAM FACTORIES BREAKDOWN</t>
        </is>
      </c>
      <c r="H4" s="2" t="inlineStr">
        <is>
          <t>REGIONAL COMPARISON (CLG)</t>
        </is>
      </c>
    </row>
    <row r="5" ht="22" customHeight="1">
      <c r="C5" s="3" t="inlineStr">
        <is>
          <t>Region</t>
        </is>
      </c>
      <c r="D5" s="3" t="inlineStr">
        <is>
          <t>VH Factory</t>
        </is>
      </c>
      <c r="E5" s="3" t="inlineStr">
        <is>
          <t>VH2 Factory</t>
        </is>
      </c>
      <c r="F5" s="3" t="inlineStr">
        <is>
          <t>Total Vietnam</t>
        </is>
      </c>
      <c r="H5" s="3" t="inlineStr">
        <is>
          <t>Region</t>
        </is>
      </c>
      <c r="I5" s="3" t="inlineStr">
        <is>
          <t>Total QC Fail</t>
        </is>
      </c>
      <c r="J5" s="3" t="inlineStr">
        <is>
          <t>Regional Share</t>
        </is>
      </c>
    </row>
    <row r="6" ht="20" customHeight="1">
      <c r="C6" s="4" t="inlineStr">
        <is>
          <t>Fail Count</t>
        </is>
      </c>
      <c r="D6" s="6">
        <f>'re-vh'!H6</f>
        <v/>
      </c>
      <c r="E6" s="16">
        <f>'re-vh2'!H6</f>
        <v/>
      </c>
      <c r="F6" s="17">
        <f>D6+E6</f>
        <v/>
      </c>
      <c r="H6" s="4" t="inlineStr">
        <is>
          <t>Vietnam (VN)</t>
        </is>
      </c>
      <c r="I6" s="6">
        <f>F6</f>
        <v/>
      </c>
      <c r="J6" s="7">
        <f>I6/SUM(I6:I7)</f>
        <v/>
      </c>
    </row>
    <row r="7" ht="20" customHeight="1">
      <c r="C7" s="12" t="inlineStr">
        <is>
          <t>Percentage (%)</t>
        </is>
      </c>
      <c r="D7" s="15">
        <f>D6/F6</f>
        <v/>
      </c>
      <c r="E7" s="15">
        <f>E6/F6</f>
        <v/>
      </c>
      <c r="F7" s="18" t="inlineStr">
        <is>
          <t>100.0%</t>
        </is>
      </c>
      <c r="H7" s="4" t="inlineStr">
        <is>
          <t>Indonesia (INDO)</t>
        </is>
      </c>
      <c r="I7" s="6">
        <f>F12</f>
        <v/>
      </c>
      <c r="J7" s="7">
        <f>I7/SUM(I6:I7)</f>
        <v/>
      </c>
    </row>
    <row r="8" ht="20" customHeight="1">
      <c r="H8" s="12" t="inlineStr">
        <is>
          <t>TOTAL</t>
        </is>
      </c>
      <c r="I8" s="14">
        <f>SUM(I6:I7)</f>
        <v/>
      </c>
      <c r="J8" s="18" t="inlineStr">
        <is>
          <t>100.0%</t>
        </is>
      </c>
    </row>
    <row r="10">
      <c r="C10" s="2" t="inlineStr">
        <is>
          <t>INDONESIA FACTORIES BREAKDOWN</t>
        </is>
      </c>
    </row>
    <row r="11" ht="22" customHeight="1">
      <c r="C11" s="3" t="inlineStr">
        <is>
          <t>Region</t>
        </is>
      </c>
      <c r="D11" s="3" t="inlineStr">
        <is>
          <t>JV Factory</t>
        </is>
      </c>
      <c r="E11" s="3" t="inlineStr">
        <is>
          <t>JV2 Factory</t>
        </is>
      </c>
      <c r="F11" s="3" t="inlineStr">
        <is>
          <t>Total Indonesia</t>
        </is>
      </c>
    </row>
    <row r="12" ht="20" customHeight="1">
      <c r="C12" s="4" t="inlineStr">
        <is>
          <t>Fail Count</t>
        </is>
      </c>
      <c r="D12" s="6">
        <f>'RE-JV'!H6</f>
        <v/>
      </c>
      <c r="E12" s="6">
        <f>'RE-JV2'!H6</f>
        <v/>
      </c>
      <c r="F12" s="17">
        <f>D12+E12</f>
        <v/>
      </c>
    </row>
    <row r="13" ht="20" customHeight="1">
      <c r="C13" s="12" t="inlineStr">
        <is>
          <t>Percentage (%)</t>
        </is>
      </c>
      <c r="D13" s="15">
        <f>D12/F12</f>
        <v/>
      </c>
      <c r="E13" s="15">
        <f>E12/F12</f>
        <v/>
      </c>
      <c r="F13" s="18" t="inlineStr">
        <is>
          <t>100.0%</t>
        </is>
      </c>
    </row>
    <row r="15">
      <c r="C15" s="19" t="inlineStr">
        <is>
          <t>* Note: QC Audit inspection failure numbers are dynamically linked from factory Re-Inspection worksheets.</t>
        </is>
      </c>
    </row>
  </sheetData>
  <mergeCells count="4">
    <mergeCell ref="C10:F10"/>
    <mergeCell ref="C4:F4"/>
    <mergeCell ref="H4:J4"/>
    <mergeCell ref="C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Y12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14" customWidth="1" min="4" max="4"/>
    <col width="12" customWidth="1" min="5" max="5"/>
    <col width="4" customWidth="1" min="6" max="6"/>
    <col width="30" customWidth="1" min="7" max="7"/>
    <col width="16" customWidth="1" min="8" max="8"/>
    <col width="16" customWidth="1" min="9" max="9"/>
    <col width="3" customWidth="1" min="10" max="10"/>
    <col width="30" customWidth="1" min="11" max="11"/>
    <col width="16" customWidth="1" min="12" max="12"/>
    <col width="16" customWidth="1" min="13" max="13"/>
    <col width="3" customWidth="1" min="14" max="14"/>
    <col width="30" customWidth="1" min="15" max="15"/>
    <col width="16" customWidth="1" min="16" max="16"/>
    <col width="16" customWidth="1" min="17" max="17"/>
    <col width="3" customWidth="1" min="18" max="18"/>
    <col width="30" customWidth="1" min="19" max="19"/>
    <col width="16" customWidth="1" min="20" max="20"/>
    <col width="16" customWidth="1" min="21" max="21"/>
    <col width="3" customWidth="1" min="22" max="22"/>
    <col width="30" customWidth="1" min="23" max="23"/>
    <col width="16" customWidth="1" min="24" max="24"/>
    <col width="16" customWidth="1" min="25" max="25"/>
  </cols>
  <sheetData>
    <row r="2" ht="28" customHeight="1">
      <c r="A2" s="1" t="inlineStr">
        <is>
          <t>QC AUDIT &amp; FTT CROSS-ANALYSIS DASHBOARD</t>
        </is>
      </c>
    </row>
    <row r="4" ht="24" customHeight="1">
      <c r="A4" s="2" t="inlineStr">
        <is>
          <t>MASTER DEFECT AUDIT LOG — QC</t>
        </is>
      </c>
      <c r="G4" s="2" t="inlineStr">
        <is>
          <t>FACTORY VH — FTT TOP DEFECTS PER MODEL</t>
        </is>
      </c>
    </row>
    <row r="5" ht="22" customHeight="1">
      <c r="A5" s="3" t="inlineStr">
        <is>
          <t>Defect Description</t>
        </is>
      </c>
      <c r="B5" s="3" t="inlineStr">
        <is>
          <t>Defect Qty</t>
        </is>
      </c>
      <c r="C5" s="3" t="inlineStr">
        <is>
          <t>Shoe Model</t>
        </is>
      </c>
      <c r="D5" s="3" t="inlineStr">
        <is>
          <t>Audit Station</t>
        </is>
      </c>
      <c r="E5" s="3" t="inlineStr">
        <is>
          <t>Factory Site</t>
        </is>
      </c>
    </row>
    <row r="6" ht="20" customHeight="1">
      <c r="A6" s="4">
        <f>H10</f>
        <v/>
      </c>
      <c r="B6" s="6">
        <f>I10</f>
        <v/>
      </c>
      <c r="C6" s="5">
        <f>G7</f>
        <v/>
      </c>
      <c r="D6" s="20" t="inlineStr">
        <is>
          <t>FTT</t>
        </is>
      </c>
      <c r="E6" s="21" t="inlineStr">
        <is>
          <t>VH</t>
        </is>
      </c>
      <c r="G6" s="3" t="inlineStr">
        <is>
          <t>Model Name</t>
        </is>
      </c>
      <c r="H6" s="3" t="inlineStr">
        <is>
          <t>Defect Issue</t>
        </is>
      </c>
      <c r="I6" s="3" t="inlineStr">
        <is>
          <t>Total Qty</t>
        </is>
      </c>
      <c r="K6" s="3" t="inlineStr">
        <is>
          <t>Model Name</t>
        </is>
      </c>
      <c r="L6" s="3" t="inlineStr">
        <is>
          <t>Defect Issue</t>
        </is>
      </c>
      <c r="M6" s="3" t="inlineStr">
        <is>
          <t>Total Qty</t>
        </is>
      </c>
      <c r="O6" s="3" t="inlineStr">
        <is>
          <t>Model Name</t>
        </is>
      </c>
      <c r="P6" s="3" t="inlineStr">
        <is>
          <t>Defect Issue</t>
        </is>
      </c>
      <c r="Q6" s="3" t="inlineStr">
        <is>
          <t>Total Qty</t>
        </is>
      </c>
      <c r="S6" s="3" t="inlineStr">
        <is>
          <t>Model Name</t>
        </is>
      </c>
      <c r="T6" s="3" t="inlineStr">
        <is>
          <t>Defect Issue</t>
        </is>
      </c>
      <c r="U6" s="3" t="inlineStr">
        <is>
          <t>Total Qty</t>
        </is>
      </c>
      <c r="W6" s="3" t="inlineStr">
        <is>
          <t>Model Name</t>
        </is>
      </c>
      <c r="X6" s="3" t="inlineStr">
        <is>
          <t>Defect Issue</t>
        </is>
      </c>
      <c r="Y6" s="3" t="inlineStr">
        <is>
          <t>Total Qty</t>
        </is>
      </c>
    </row>
    <row r="7" ht="20" customHeight="1">
      <c r="A7" s="8">
        <f>H11</f>
        <v/>
      </c>
      <c r="B7" s="10">
        <f>I11</f>
        <v/>
      </c>
      <c r="C7" s="9">
        <f>G8</f>
        <v/>
      </c>
      <c r="D7" s="20" t="inlineStr">
        <is>
          <t>FTT</t>
        </is>
      </c>
      <c r="E7" s="22" t="inlineStr">
        <is>
          <t>VH</t>
        </is>
      </c>
      <c r="G7" s="4" t="inlineStr">
        <is>
          <t>AIR JORDAN 1 LOW SE (MS/WS)</t>
        </is>
      </c>
      <c r="H7" s="5" t="inlineStr">
        <is>
          <t>Cleanness</t>
        </is>
      </c>
      <c r="I7" s="6" t="n">
        <v>1331</v>
      </c>
      <c r="K7" s="4" t="inlineStr">
        <is>
          <t>JORDAN SPIZIKE LOW (GS)</t>
        </is>
      </c>
      <c r="L7" s="5" t="inlineStr">
        <is>
          <t>Cleanness</t>
        </is>
      </c>
      <c r="M7" s="6" t="n">
        <v>1819</v>
      </c>
      <c r="O7" s="4" t="inlineStr">
        <is>
          <t>JORDAN TRUE FLIGHT (MS)</t>
        </is>
      </c>
      <c r="P7" s="5" t="inlineStr">
        <is>
          <t>Thread end</t>
        </is>
      </c>
      <c r="Q7" s="6" t="n">
        <v>831</v>
      </c>
      <c r="S7" s="4" t="inlineStr">
        <is>
          <t>NIKE AIR WINFLO 12 (MS/WS)</t>
        </is>
      </c>
      <c r="T7" s="5" t="inlineStr">
        <is>
          <t>Over cement</t>
        </is>
      </c>
      <c r="U7" s="6" t="n">
        <v>2896</v>
      </c>
      <c r="W7" s="4" t="inlineStr">
        <is>
          <t>NIKE SB FORCE 58</t>
        </is>
      </c>
      <c r="X7" s="5" t="inlineStr">
        <is>
          <t>Over cement</t>
        </is>
      </c>
      <c r="Y7" s="6" t="n">
        <v>1546</v>
      </c>
    </row>
    <row r="8" ht="20" customHeight="1">
      <c r="A8" s="4">
        <f>H12</f>
        <v/>
      </c>
      <c r="B8" s="6">
        <f>I12</f>
        <v/>
      </c>
      <c r="C8" s="5">
        <f>G9</f>
        <v/>
      </c>
      <c r="D8" s="20" t="inlineStr">
        <is>
          <t>FTT</t>
        </is>
      </c>
      <c r="E8" s="21" t="inlineStr">
        <is>
          <t>VH</t>
        </is>
      </c>
      <c r="G8" s="4" t="inlineStr">
        <is>
          <t>AIR JORDAN 1 LOW SE (MS/WS)</t>
        </is>
      </c>
      <c r="H8" s="5" t="inlineStr">
        <is>
          <t>Thread end</t>
        </is>
      </c>
      <c r="I8" s="6" t="n">
        <v>1310</v>
      </c>
      <c r="K8" s="4" t="inlineStr">
        <is>
          <t>JORDAN SPIZIKE LOW (GS)</t>
        </is>
      </c>
      <c r="L8" s="5" t="inlineStr">
        <is>
          <t>Thread end</t>
        </is>
      </c>
      <c r="M8" s="6" t="n">
        <v>1561</v>
      </c>
      <c r="O8" s="4" t="inlineStr">
        <is>
          <t>JORDAN TRUE FLIGHT (MS)</t>
        </is>
      </c>
      <c r="P8" s="5" t="inlineStr">
        <is>
          <t>Cleanness</t>
        </is>
      </c>
      <c r="Q8" s="6" t="n">
        <v>779</v>
      </c>
      <c r="S8" s="4" t="inlineStr">
        <is>
          <t>NIKE AIR WINFLO 12 (MS/WS)</t>
        </is>
      </c>
      <c r="T8" s="5" t="inlineStr">
        <is>
          <t>Cleanness</t>
        </is>
      </c>
      <c r="U8" s="6" t="n">
        <v>2856</v>
      </c>
      <c r="W8" s="4" t="inlineStr">
        <is>
          <t>NIKE SB FORCE 58</t>
        </is>
      </c>
      <c r="X8" s="5" t="inlineStr">
        <is>
          <t>Thread end</t>
        </is>
      </c>
      <c r="Y8" s="6" t="n">
        <v>1466</v>
      </c>
    </row>
    <row r="9" ht="20" customHeight="1">
      <c r="A9" s="8">
        <f>L10</f>
        <v/>
      </c>
      <c r="B9" s="10">
        <f>M10</f>
        <v/>
      </c>
      <c r="C9" s="9">
        <f>K7</f>
        <v/>
      </c>
      <c r="D9" s="20" t="inlineStr">
        <is>
          <t>FTT</t>
        </is>
      </c>
      <c r="E9" s="22" t="inlineStr">
        <is>
          <t>VH</t>
        </is>
      </c>
      <c r="G9" s="4" t="inlineStr">
        <is>
          <t>AIR JORDAN 1 LOW SE (MS/WS)</t>
        </is>
      </c>
      <c r="H9" s="5" t="inlineStr">
        <is>
          <t>Over cement</t>
        </is>
      </c>
      <c r="I9" s="6" t="n">
        <v>1121</v>
      </c>
      <c r="K9" s="4" t="inlineStr">
        <is>
          <t>JORDAN SPIZIKE LOW (GS)</t>
        </is>
      </c>
      <c r="L9" s="5" t="inlineStr">
        <is>
          <t>Midsole/Outsole to upper bond gap</t>
        </is>
      </c>
      <c r="M9" s="6" t="n">
        <v>1435</v>
      </c>
      <c r="O9" s="4" t="inlineStr">
        <is>
          <t>JORDAN TRUE FLIGHT (MS)</t>
        </is>
      </c>
      <c r="P9" s="5" t="inlineStr">
        <is>
          <t>Wrinkle bottom</t>
        </is>
      </c>
      <c r="Q9" s="6" t="n">
        <v>759</v>
      </c>
      <c r="S9" s="4" t="inlineStr">
        <is>
          <t>NIKE AIR WINFLO 12 (MS/WS)</t>
        </is>
      </c>
      <c r="T9" s="5" t="inlineStr">
        <is>
          <t>Midsole/Outsole to upper bond gap</t>
        </is>
      </c>
      <c r="U9" s="6" t="n">
        <v>2567</v>
      </c>
      <c r="W9" s="4" t="inlineStr">
        <is>
          <t>NIKE SB FORCE 58</t>
        </is>
      </c>
      <c r="X9" s="5" t="inlineStr">
        <is>
          <t>Midsole/Outsole to upper bond gap</t>
        </is>
      </c>
      <c r="Y9" s="6" t="n">
        <v>1422</v>
      </c>
    </row>
    <row r="10" ht="20" customHeight="1">
      <c r="A10" s="4">
        <f>L11</f>
        <v/>
      </c>
      <c r="B10" s="6">
        <f>M11</f>
        <v/>
      </c>
      <c r="C10" s="5">
        <f>K8</f>
        <v/>
      </c>
      <c r="D10" s="20" t="inlineStr">
        <is>
          <t>FTT</t>
        </is>
      </c>
      <c r="E10" s="21" t="inlineStr">
        <is>
          <t>VH</t>
        </is>
      </c>
      <c r="H10">
        <f>SUBSTITUTE(H7,"Sum of ","")</f>
        <v/>
      </c>
      <c r="I10">
        <f>I7</f>
        <v/>
      </c>
      <c r="L10">
        <f>SUBSTITUTE(L7,"Sum of ","")</f>
        <v/>
      </c>
      <c r="M10">
        <f>M7</f>
        <v/>
      </c>
      <c r="P10">
        <f>SUBSTITUTE(P7,"Sum of ","")</f>
        <v/>
      </c>
      <c r="Q10">
        <f>Q7</f>
        <v/>
      </c>
      <c r="T10">
        <f>SUBSTITUTE(T7,"Sum of ","")</f>
        <v/>
      </c>
      <c r="U10">
        <f>U7</f>
        <v/>
      </c>
      <c r="X10">
        <f>SUBSTITUTE(X7,"Sum of ","")</f>
        <v/>
      </c>
      <c r="Y10">
        <f>Y7</f>
        <v/>
      </c>
    </row>
    <row r="11" ht="20" customHeight="1">
      <c r="A11" s="8">
        <f>L12</f>
        <v/>
      </c>
      <c r="B11" s="10">
        <f>M12</f>
        <v/>
      </c>
      <c r="C11" s="9">
        <f>K9</f>
        <v/>
      </c>
      <c r="D11" s="20" t="inlineStr">
        <is>
          <t>FTT</t>
        </is>
      </c>
      <c r="E11" s="22" t="inlineStr">
        <is>
          <t>VH</t>
        </is>
      </c>
      <c r="H11">
        <f>SUBSTITUTE(H8,"Sum of ","")</f>
        <v/>
      </c>
      <c r="I11">
        <f>I8</f>
        <v/>
      </c>
      <c r="L11">
        <f>SUBSTITUTE(L8,"Sum of ","")</f>
        <v/>
      </c>
      <c r="M11">
        <f>M8</f>
        <v/>
      </c>
      <c r="P11">
        <f>SUBSTITUTE(P8,"Sum of ","")</f>
        <v/>
      </c>
      <c r="Q11">
        <f>Q8</f>
        <v/>
      </c>
      <c r="T11">
        <f>SUBSTITUTE(T8,"Sum of ","")</f>
        <v/>
      </c>
      <c r="U11">
        <f>U8</f>
        <v/>
      </c>
      <c r="X11">
        <f>SUBSTITUTE(X8,"Sum of ","")</f>
        <v/>
      </c>
      <c r="Y11">
        <f>Y8</f>
        <v/>
      </c>
    </row>
    <row r="12" ht="20" customHeight="1">
      <c r="A12" s="4">
        <f>P10</f>
        <v/>
      </c>
      <c r="B12" s="6">
        <f>Q10</f>
        <v/>
      </c>
      <c r="C12" s="5">
        <f>O7</f>
        <v/>
      </c>
      <c r="D12" s="20" t="inlineStr">
        <is>
          <t>FTT</t>
        </is>
      </c>
      <c r="E12" s="21" t="inlineStr">
        <is>
          <t>VH</t>
        </is>
      </c>
      <c r="H12">
        <f>SUBSTITUTE(H9,"Sum of ","")</f>
        <v/>
      </c>
      <c r="I12">
        <f>I9</f>
        <v/>
      </c>
      <c r="L12">
        <f>SUBSTITUTE(L9,"Sum of ","")</f>
        <v/>
      </c>
      <c r="M12">
        <f>M9</f>
        <v/>
      </c>
      <c r="P12">
        <f>SUBSTITUTE(P9,"Sum of ","")</f>
        <v/>
      </c>
      <c r="Q12">
        <f>Q9</f>
        <v/>
      </c>
      <c r="T12">
        <f>SUBSTITUTE(T9,"Sum of ","")</f>
        <v/>
      </c>
      <c r="U12">
        <f>U9</f>
        <v/>
      </c>
      <c r="X12">
        <f>SUBSTITUTE(X9,"Sum of ","")</f>
        <v/>
      </c>
      <c r="Y12">
        <f>Y9</f>
        <v/>
      </c>
    </row>
    <row r="13" ht="20" customHeight="1">
      <c r="A13" s="8">
        <f>P11</f>
        <v/>
      </c>
      <c r="B13" s="10">
        <f>Q11</f>
        <v/>
      </c>
      <c r="C13" s="9">
        <f>O8</f>
        <v/>
      </c>
      <c r="D13" s="20" t="inlineStr">
        <is>
          <t>FTT</t>
        </is>
      </c>
      <c r="E13" s="22" t="inlineStr">
        <is>
          <t>VH</t>
        </is>
      </c>
    </row>
    <row r="14" ht="20" customHeight="1">
      <c r="A14" s="4">
        <f>P12</f>
        <v/>
      </c>
      <c r="B14" s="6">
        <f>Q12</f>
        <v/>
      </c>
      <c r="C14" s="5">
        <f>O9</f>
        <v/>
      </c>
      <c r="D14" s="20" t="inlineStr">
        <is>
          <t>FTT</t>
        </is>
      </c>
      <c r="E14" s="21" t="inlineStr">
        <is>
          <t>VH</t>
        </is>
      </c>
    </row>
    <row r="15" ht="20" customHeight="1">
      <c r="A15" s="8">
        <f>T10</f>
        <v/>
      </c>
      <c r="B15" s="10">
        <f>U10</f>
        <v/>
      </c>
      <c r="C15" s="9">
        <f>S7</f>
        <v/>
      </c>
      <c r="D15" s="20" t="inlineStr">
        <is>
          <t>FTT</t>
        </is>
      </c>
      <c r="E15" s="22" t="inlineStr">
        <is>
          <t>VH</t>
        </is>
      </c>
    </row>
    <row r="16" ht="20" customHeight="1">
      <c r="A16" s="4">
        <f>T11</f>
        <v/>
      </c>
      <c r="B16" s="6">
        <f>U11</f>
        <v/>
      </c>
      <c r="C16" s="5">
        <f>S8</f>
        <v/>
      </c>
      <c r="D16" s="20" t="inlineStr">
        <is>
          <t>FTT</t>
        </is>
      </c>
      <c r="E16" s="21" t="inlineStr">
        <is>
          <t>VH</t>
        </is>
      </c>
    </row>
    <row r="17" ht="20" customHeight="1">
      <c r="A17" s="8">
        <f>T12</f>
        <v/>
      </c>
      <c r="B17" s="10">
        <f>U12</f>
        <v/>
      </c>
      <c r="C17" s="9">
        <f>S9</f>
        <v/>
      </c>
      <c r="D17" s="20" t="inlineStr">
        <is>
          <t>FTT</t>
        </is>
      </c>
      <c r="E17" s="22" t="inlineStr">
        <is>
          <t>VH</t>
        </is>
      </c>
    </row>
    <row r="18" ht="20" customHeight="1">
      <c r="A18" s="4">
        <f>X10</f>
        <v/>
      </c>
      <c r="B18" s="6">
        <f>Y10</f>
        <v/>
      </c>
      <c r="C18" s="5">
        <f>W7</f>
        <v/>
      </c>
      <c r="D18" s="20" t="inlineStr">
        <is>
          <t>FTT</t>
        </is>
      </c>
      <c r="E18" s="21" t="inlineStr">
        <is>
          <t>VH</t>
        </is>
      </c>
    </row>
    <row r="19" ht="24" customHeight="1">
      <c r="A19" s="8">
        <f>X11</f>
        <v/>
      </c>
      <c r="B19" s="10">
        <f>Y11</f>
        <v/>
      </c>
      <c r="C19" s="9">
        <f>W8</f>
        <v/>
      </c>
      <c r="D19" s="20" t="inlineStr">
        <is>
          <t>FTT</t>
        </is>
      </c>
      <c r="E19" s="22" t="inlineStr">
        <is>
          <t>VH</t>
        </is>
      </c>
      <c r="G19" s="2" t="inlineStr">
        <is>
          <t>FACTORY VH — RE-INSPECTION (INITIAL AUDIT - QC)</t>
        </is>
      </c>
    </row>
    <row r="20" ht="20" customHeight="1">
      <c r="A20" s="4">
        <f>X12</f>
        <v/>
      </c>
      <c r="B20" s="6">
        <f>Y12</f>
        <v/>
      </c>
      <c r="C20" s="5">
        <f>W9</f>
        <v/>
      </c>
      <c r="D20" s="20" t="inlineStr">
        <is>
          <t>FTT</t>
        </is>
      </c>
      <c r="E20" s="21" t="inlineStr">
        <is>
          <t>VH</t>
        </is>
      </c>
    </row>
    <row r="21" ht="20" customHeight="1">
      <c r="A21" s="8">
        <f>H25</f>
        <v/>
      </c>
      <c r="B21" s="10">
        <f>I25</f>
        <v/>
      </c>
      <c r="C21" s="9">
        <f>C6</f>
        <v/>
      </c>
      <c r="D21" s="23" t="inlineStr">
        <is>
          <t>Re-ins</t>
        </is>
      </c>
      <c r="E21" s="22" t="inlineStr">
        <is>
          <t>VH</t>
        </is>
      </c>
      <c r="G21" s="3" t="inlineStr">
        <is>
          <t>Model Name</t>
        </is>
      </c>
      <c r="H21" s="3" t="inlineStr">
        <is>
          <t>Defect Issue</t>
        </is>
      </c>
      <c r="I21" s="3" t="inlineStr">
        <is>
          <t>Defect Qty</t>
        </is>
      </c>
      <c r="K21" s="3" t="inlineStr">
        <is>
          <t>Model Name</t>
        </is>
      </c>
      <c r="L21" s="3" t="inlineStr">
        <is>
          <t>Defect Issue</t>
        </is>
      </c>
      <c r="M21" s="3" t="inlineStr">
        <is>
          <t>Defect Qty</t>
        </is>
      </c>
      <c r="O21" s="3" t="inlineStr">
        <is>
          <t>Model Name</t>
        </is>
      </c>
      <c r="P21" s="3" t="inlineStr">
        <is>
          <t>Defect Issue</t>
        </is>
      </c>
      <c r="Q21" s="3" t="inlineStr">
        <is>
          <t>Defect Qty</t>
        </is>
      </c>
      <c r="S21" s="3" t="inlineStr">
        <is>
          <t>Model Name</t>
        </is>
      </c>
      <c r="T21" s="3" t="inlineStr">
        <is>
          <t>Defect Issue</t>
        </is>
      </c>
      <c r="U21" s="3" t="inlineStr">
        <is>
          <t>Defect Qty</t>
        </is>
      </c>
      <c r="W21" s="3" t="inlineStr">
        <is>
          <t>Model Name</t>
        </is>
      </c>
      <c r="X21" s="3" t="inlineStr">
        <is>
          <t>Defect Issue</t>
        </is>
      </c>
      <c r="Y21" s="3" t="inlineStr">
        <is>
          <t>Defect Qty</t>
        </is>
      </c>
    </row>
    <row r="22" ht="20" customHeight="1">
      <c r="A22" s="4">
        <f>H26</f>
        <v/>
      </c>
      <c r="B22" s="6">
        <f>I26</f>
        <v/>
      </c>
      <c r="C22" s="5">
        <f>C7</f>
        <v/>
      </c>
      <c r="D22" s="23" t="inlineStr">
        <is>
          <t>Re-ins</t>
        </is>
      </c>
      <c r="E22" s="21" t="inlineStr">
        <is>
          <t>VH</t>
        </is>
      </c>
      <c r="G22" s="4" t="inlineStr">
        <is>
          <t>AIR JORDAN 1 LOW SE (MS/WS)</t>
        </is>
      </c>
      <c r="H22" s="5" t="inlineStr">
        <is>
          <t>Sum of Cleanness</t>
        </is>
      </c>
      <c r="I22" s="6" t="n">
        <v>24</v>
      </c>
      <c r="K22" s="4" t="inlineStr">
        <is>
          <t>JORDAN SPIZIKE LOW (GS)</t>
        </is>
      </c>
      <c r="L22" s="5" t="inlineStr">
        <is>
          <t>Sum of Cleanness</t>
        </is>
      </c>
      <c r="M22" s="6" t="n">
        <v>29</v>
      </c>
      <c r="O22" s="4" t="inlineStr">
        <is>
          <t>JORDAN TRUE FLIGHT (MS)</t>
        </is>
      </c>
      <c r="P22" s="5" t="inlineStr">
        <is>
          <t>Sum of Cleanness</t>
        </is>
      </c>
      <c r="Q22" s="6" t="n">
        <v>21</v>
      </c>
      <c r="S22" s="4" t="inlineStr">
        <is>
          <t>NIKE AIR WINFLO 12 (MS/WS)</t>
        </is>
      </c>
      <c r="T22" s="5" t="inlineStr">
        <is>
          <t>Sum of Cleanness</t>
        </is>
      </c>
      <c r="U22" s="6" t="n">
        <v>29</v>
      </c>
      <c r="W22" s="4" t="inlineStr">
        <is>
          <t>NIKE SB FORCE 58</t>
        </is>
      </c>
      <c r="X22" s="5" t="inlineStr">
        <is>
          <t>Sum of Over cement</t>
        </is>
      </c>
      <c r="Y22" s="6" t="n">
        <v>53</v>
      </c>
    </row>
    <row r="23" ht="20" customHeight="1">
      <c r="A23" s="8">
        <f>H27</f>
        <v/>
      </c>
      <c r="B23" s="10">
        <f>I27</f>
        <v/>
      </c>
      <c r="C23" s="9">
        <f>C8</f>
        <v/>
      </c>
      <c r="D23" s="23" t="inlineStr">
        <is>
          <t>Re-ins</t>
        </is>
      </c>
      <c r="E23" s="22" t="inlineStr">
        <is>
          <t>VH</t>
        </is>
      </c>
      <c r="G23" s="4" t="inlineStr">
        <is>
          <t>AIR JORDAN 1 LOW SE (MS/WS)</t>
        </is>
      </c>
      <c r="H23" s="5" t="inlineStr">
        <is>
          <t>Sum of Midsole/Outsole to upper bond gap</t>
        </is>
      </c>
      <c r="I23" s="6" t="n">
        <v>21</v>
      </c>
      <c r="K23" s="4" t="inlineStr">
        <is>
          <t>JORDAN SPIZIKE LOW (GS)</t>
        </is>
      </c>
      <c r="L23" s="5" t="inlineStr">
        <is>
          <t>Sum of Midsole/Outsole to upper bond gap</t>
        </is>
      </c>
      <c r="M23" s="6" t="n">
        <v>29</v>
      </c>
      <c r="O23" s="4" t="inlineStr">
        <is>
          <t>JORDAN TRUE FLIGHT (MS)</t>
        </is>
      </c>
      <c r="P23" s="5" t="inlineStr">
        <is>
          <t>Sum of Midsole/Outsole to upper bond gap</t>
        </is>
      </c>
      <c r="Q23" s="6" t="n">
        <v>21</v>
      </c>
      <c r="S23" s="4" t="inlineStr">
        <is>
          <t>NIKE AIR WINFLO 12 (MS/WS)</t>
        </is>
      </c>
      <c r="T23" s="5" t="inlineStr">
        <is>
          <t>Sum of Over cement</t>
        </is>
      </c>
      <c r="U23" s="6" t="n">
        <v>27</v>
      </c>
      <c r="W23" s="4" t="inlineStr">
        <is>
          <t>NIKE SB FORCE 58</t>
        </is>
      </c>
      <c r="X23" s="5" t="inlineStr">
        <is>
          <t>Sum of Cleanness</t>
        </is>
      </c>
      <c r="Y23" s="6" t="n">
        <v>39</v>
      </c>
    </row>
    <row r="24" ht="20" customHeight="1">
      <c r="A24" s="4">
        <f>L25</f>
        <v/>
      </c>
      <c r="B24" s="6">
        <f>M25</f>
        <v/>
      </c>
      <c r="C24" s="5">
        <f>C9</f>
        <v/>
      </c>
      <c r="D24" s="23" t="inlineStr">
        <is>
          <t>Re-ins</t>
        </is>
      </c>
      <c r="E24" s="21" t="inlineStr">
        <is>
          <t>VH</t>
        </is>
      </c>
      <c r="G24" s="4" t="inlineStr">
        <is>
          <t>AIR JORDAN 1 LOW SE (MS/WS)</t>
        </is>
      </c>
      <c r="H24" s="5" t="inlineStr">
        <is>
          <t>Sum of Over cement</t>
        </is>
      </c>
      <c r="I24" s="6" t="n">
        <v>18</v>
      </c>
      <c r="K24" s="4" t="inlineStr">
        <is>
          <t>JORDAN SPIZIKE LOW (GS)</t>
        </is>
      </c>
      <c r="L24" s="5" t="inlineStr">
        <is>
          <t>Sum of Thread end</t>
        </is>
      </c>
      <c r="M24" s="6" t="n">
        <v>25</v>
      </c>
      <c r="O24" s="4" t="inlineStr">
        <is>
          <t>JORDAN TRUE FLIGHT (MS)</t>
        </is>
      </c>
      <c r="P24" s="5" t="inlineStr">
        <is>
          <t>Sum of Over cement</t>
        </is>
      </c>
      <c r="Q24" s="6" t="n">
        <v>18</v>
      </c>
      <c r="S24" s="4" t="inlineStr">
        <is>
          <t>NIKE AIR WINFLO 12 (MS/WS)</t>
        </is>
      </c>
      <c r="T24" s="5" t="inlineStr">
        <is>
          <t>Sum of Midsole/Outsole to upper bond gap</t>
        </is>
      </c>
      <c r="U24" s="6" t="n">
        <v>22</v>
      </c>
      <c r="W24" s="4" t="inlineStr">
        <is>
          <t>NIKE SB FORCE 58</t>
        </is>
      </c>
      <c r="X24" s="5" t="inlineStr">
        <is>
          <t>Sum of Midsole/Outsole to upper bond gap</t>
        </is>
      </c>
      <c r="Y24" s="6" t="n">
        <v>38</v>
      </c>
    </row>
    <row r="25" ht="20" customHeight="1">
      <c r="A25" s="8">
        <f>L26</f>
        <v/>
      </c>
      <c r="B25" s="10">
        <f>M26</f>
        <v/>
      </c>
      <c r="C25" s="9">
        <f>C10</f>
        <v/>
      </c>
      <c r="D25" s="23" t="inlineStr">
        <is>
          <t>Re-ins</t>
        </is>
      </c>
      <c r="E25" s="22" t="inlineStr">
        <is>
          <t>VH</t>
        </is>
      </c>
      <c r="H25">
        <f>SUBSTITUTE(H22,"Sum of ","")</f>
        <v/>
      </c>
      <c r="I25">
        <f>I22</f>
        <v/>
      </c>
      <c r="L25">
        <f>SUBSTITUTE(L22,"Sum of ","")</f>
        <v/>
      </c>
      <c r="M25">
        <f>M22</f>
        <v/>
      </c>
      <c r="P25">
        <f>SUBSTITUTE(P22,"Sum of ","")</f>
        <v/>
      </c>
      <c r="Q25">
        <f>Q22</f>
        <v/>
      </c>
      <c r="T25">
        <f>SUBSTITUTE(T22,"Sum of ","")</f>
        <v/>
      </c>
      <c r="U25">
        <f>U22</f>
        <v/>
      </c>
      <c r="X25">
        <f>SUBSTITUTE(X22,"Sum of ","")</f>
        <v/>
      </c>
      <c r="Y25">
        <f>Y22</f>
        <v/>
      </c>
    </row>
    <row r="26" ht="20" customHeight="1">
      <c r="A26" s="4">
        <f>L27</f>
        <v/>
      </c>
      <c r="B26" s="6">
        <f>M27</f>
        <v/>
      </c>
      <c r="C26" s="5">
        <f>C11</f>
        <v/>
      </c>
      <c r="D26" s="23" t="inlineStr">
        <is>
          <t>Re-ins</t>
        </is>
      </c>
      <c r="E26" s="21" t="inlineStr">
        <is>
          <t>VH</t>
        </is>
      </c>
      <c r="H26">
        <f>SUBSTITUTE(H23,"Sum of ","")</f>
        <v/>
      </c>
      <c r="I26">
        <f>I23</f>
        <v/>
      </c>
      <c r="L26">
        <f>SUBSTITUTE(L23,"Sum of ","")</f>
        <v/>
      </c>
      <c r="M26">
        <f>M23</f>
        <v/>
      </c>
      <c r="P26">
        <f>SUBSTITUTE(P23,"Sum of ","")</f>
        <v/>
      </c>
      <c r="Q26">
        <f>Q23</f>
        <v/>
      </c>
      <c r="T26">
        <f>SUBSTITUTE(T23,"Sum of ","")</f>
        <v/>
      </c>
      <c r="U26">
        <f>U23</f>
        <v/>
      </c>
      <c r="X26">
        <f>SUBSTITUTE(X23,"Sum of ","")</f>
        <v/>
      </c>
      <c r="Y26">
        <f>Y23</f>
        <v/>
      </c>
    </row>
    <row r="27" ht="20" customHeight="1">
      <c r="A27" s="8">
        <f>P25</f>
        <v/>
      </c>
      <c r="B27" s="10">
        <f>Q25</f>
        <v/>
      </c>
      <c r="C27" s="9">
        <f>C12</f>
        <v/>
      </c>
      <c r="D27" s="23" t="inlineStr">
        <is>
          <t>Re-ins</t>
        </is>
      </c>
      <c r="E27" s="22" t="inlineStr">
        <is>
          <t>VH</t>
        </is>
      </c>
      <c r="H27">
        <f>SUBSTITUTE(H24,"Sum of ","")</f>
        <v/>
      </c>
      <c r="I27">
        <f>I24</f>
        <v/>
      </c>
      <c r="L27">
        <f>SUBSTITUTE(L24,"Sum of ","")</f>
        <v/>
      </c>
      <c r="M27">
        <f>M24</f>
        <v/>
      </c>
      <c r="P27">
        <f>SUBSTITUTE(P24,"Sum of ","")</f>
        <v/>
      </c>
      <c r="Q27">
        <f>Q24</f>
        <v/>
      </c>
      <c r="T27">
        <f>SUBSTITUTE(T24,"Sum of ","")</f>
        <v/>
      </c>
      <c r="U27">
        <f>U24</f>
        <v/>
      </c>
      <c r="X27">
        <f>SUBSTITUTE(X24,"Sum of ","")</f>
        <v/>
      </c>
      <c r="Y27">
        <f>Y24</f>
        <v/>
      </c>
    </row>
    <row r="28" ht="20" customHeight="1">
      <c r="A28" s="4">
        <f>P26</f>
        <v/>
      </c>
      <c r="B28" s="6">
        <f>Q26</f>
        <v/>
      </c>
      <c r="C28" s="5">
        <f>C13</f>
        <v/>
      </c>
      <c r="D28" s="23" t="inlineStr">
        <is>
          <t>Re-ins</t>
        </is>
      </c>
      <c r="E28" s="21" t="inlineStr">
        <is>
          <t>VH</t>
        </is>
      </c>
    </row>
    <row r="29" ht="20" customHeight="1">
      <c r="A29" s="8">
        <f>P27</f>
        <v/>
      </c>
      <c r="B29" s="10">
        <f>Q27</f>
        <v/>
      </c>
      <c r="C29" s="9">
        <f>C14</f>
        <v/>
      </c>
      <c r="D29" s="23" t="inlineStr">
        <is>
          <t>Re-ins</t>
        </is>
      </c>
      <c r="E29" s="22" t="inlineStr">
        <is>
          <t>VH</t>
        </is>
      </c>
    </row>
    <row r="30" ht="20" customHeight="1">
      <c r="A30" s="4">
        <f>T25</f>
        <v/>
      </c>
      <c r="B30" s="6">
        <f>U25</f>
        <v/>
      </c>
      <c r="C30" s="5">
        <f>C15</f>
        <v/>
      </c>
      <c r="D30" s="23" t="inlineStr">
        <is>
          <t>Re-ins</t>
        </is>
      </c>
      <c r="E30" s="21" t="inlineStr">
        <is>
          <t>VH</t>
        </is>
      </c>
    </row>
    <row r="31" ht="20" customHeight="1">
      <c r="A31" s="8">
        <f>T26</f>
        <v/>
      </c>
      <c r="B31" s="10">
        <f>U26</f>
        <v/>
      </c>
      <c r="C31" s="9">
        <f>C16</f>
        <v/>
      </c>
      <c r="D31" s="23" t="inlineStr">
        <is>
          <t>Re-ins</t>
        </is>
      </c>
      <c r="E31" s="22" t="inlineStr">
        <is>
          <t>VH</t>
        </is>
      </c>
    </row>
    <row r="32" ht="20" customHeight="1">
      <c r="A32" s="4">
        <f>T27</f>
        <v/>
      </c>
      <c r="B32" s="6">
        <f>U27</f>
        <v/>
      </c>
      <c r="C32" s="5">
        <f>C17</f>
        <v/>
      </c>
      <c r="D32" s="23" t="inlineStr">
        <is>
          <t>Re-ins</t>
        </is>
      </c>
      <c r="E32" s="21" t="inlineStr">
        <is>
          <t>VH</t>
        </is>
      </c>
    </row>
    <row r="33" ht="20" customHeight="1">
      <c r="A33" s="8">
        <f>X25</f>
        <v/>
      </c>
      <c r="B33" s="10">
        <f>Y25</f>
        <v/>
      </c>
      <c r="C33" s="9">
        <f>C18</f>
        <v/>
      </c>
      <c r="D33" s="23" t="inlineStr">
        <is>
          <t>Re-ins</t>
        </is>
      </c>
      <c r="E33" s="22" t="inlineStr">
        <is>
          <t>VH</t>
        </is>
      </c>
    </row>
    <row r="34" ht="24" customHeight="1">
      <c r="A34" s="4">
        <f>X26</f>
        <v/>
      </c>
      <c r="B34" s="6">
        <f>Y26</f>
        <v/>
      </c>
      <c r="C34" s="5">
        <f>C19</f>
        <v/>
      </c>
      <c r="D34" s="23" t="inlineStr">
        <is>
          <t>Re-ins</t>
        </is>
      </c>
      <c r="E34" s="21" t="inlineStr">
        <is>
          <t>VH</t>
        </is>
      </c>
      <c r="G34" s="2" t="inlineStr">
        <is>
          <t>FACTORY VH2 — FTT TOP DEFECTS PER MODEL</t>
        </is>
      </c>
    </row>
    <row r="35" ht="20" customHeight="1">
      <c r="A35" s="8">
        <f>X27</f>
        <v/>
      </c>
      <c r="B35" s="10">
        <f>Y27</f>
        <v/>
      </c>
      <c r="C35" s="9">
        <f>C20</f>
        <v/>
      </c>
      <c r="D35" s="23" t="inlineStr">
        <is>
          <t>Re-ins</t>
        </is>
      </c>
      <c r="E35" s="22" t="inlineStr">
        <is>
          <t>VH</t>
        </is>
      </c>
    </row>
    <row r="36" ht="20" customHeight="1">
      <c r="A36" s="4">
        <f>H40</f>
        <v/>
      </c>
      <c r="B36" s="6">
        <f>I40</f>
        <v/>
      </c>
      <c r="C36" s="5">
        <f>G37</f>
        <v/>
      </c>
      <c r="D36" s="20" t="inlineStr">
        <is>
          <t>FTT</t>
        </is>
      </c>
      <c r="E36" s="21" t="inlineStr">
        <is>
          <t>VH2</t>
        </is>
      </c>
      <c r="G36" s="3" t="inlineStr">
        <is>
          <t>Model Name</t>
        </is>
      </c>
      <c r="H36" s="3" t="inlineStr">
        <is>
          <t>Defect Issue</t>
        </is>
      </c>
      <c r="I36" s="3" t="inlineStr">
        <is>
          <t>Total Qty</t>
        </is>
      </c>
      <c r="K36" s="3" t="inlineStr">
        <is>
          <t>Model Name</t>
        </is>
      </c>
      <c r="L36" s="3" t="inlineStr">
        <is>
          <t>Defect Issue</t>
        </is>
      </c>
      <c r="M36" s="3" t="inlineStr">
        <is>
          <t>Total Qty</t>
        </is>
      </c>
      <c r="O36" s="3" t="inlineStr">
        <is>
          <t>Model Name</t>
        </is>
      </c>
      <c r="P36" s="3" t="inlineStr">
        <is>
          <t>Defect Issue</t>
        </is>
      </c>
      <c r="Q36" s="3" t="inlineStr">
        <is>
          <t>Total Qty</t>
        </is>
      </c>
      <c r="S36" s="3" t="inlineStr">
        <is>
          <t>Model Name</t>
        </is>
      </c>
      <c r="T36" s="3" t="inlineStr">
        <is>
          <t>Defect Issue</t>
        </is>
      </c>
      <c r="U36" s="3" t="inlineStr">
        <is>
          <t>Total Qty</t>
        </is>
      </c>
      <c r="W36" s="3" t="inlineStr">
        <is>
          <t>Model Name</t>
        </is>
      </c>
      <c r="X36" s="3" t="inlineStr">
        <is>
          <t>Defect Issue</t>
        </is>
      </c>
      <c r="Y36" s="3" t="inlineStr">
        <is>
          <t>Total Qty</t>
        </is>
      </c>
    </row>
    <row r="37" ht="20" customHeight="1">
      <c r="A37" s="8">
        <f>H41</f>
        <v/>
      </c>
      <c r="B37" s="10">
        <f>I41</f>
        <v/>
      </c>
      <c r="C37" s="9">
        <f>G38</f>
        <v/>
      </c>
      <c r="D37" s="20" t="inlineStr">
        <is>
          <t>FTT</t>
        </is>
      </c>
      <c r="E37" s="22" t="inlineStr">
        <is>
          <t>VH2</t>
        </is>
      </c>
      <c r="G37" s="4" t="inlineStr">
        <is>
          <t>NIKE AIR MAX EXCEE (MS/WS)</t>
        </is>
      </c>
      <c r="H37" s="5" t="inlineStr">
        <is>
          <t>Cleanness</t>
        </is>
      </c>
      <c r="I37" s="6" t="n">
        <v>5417</v>
      </c>
      <c r="K37" s="4" t="inlineStr">
        <is>
          <t>NIKE AIR WINFLO 12 GTX (MS/WS)</t>
        </is>
      </c>
      <c r="L37" s="5" t="inlineStr">
        <is>
          <t>Midsole/Outsole to upper bond gap</t>
        </is>
      </c>
      <c r="M37" s="6" t="n">
        <v>2055</v>
      </c>
      <c r="O37" s="4" t="inlineStr">
        <is>
          <t>NIKE INITIATOR (MS/WS)</t>
        </is>
      </c>
      <c r="P37" s="5" t="inlineStr">
        <is>
          <t>Over cement</t>
        </is>
      </c>
      <c r="Q37" s="6" t="n">
        <v>10329</v>
      </c>
      <c r="S37" s="4" t="inlineStr">
        <is>
          <t>NIKE RUN DEFY (MS/WS)</t>
        </is>
      </c>
      <c r="T37" s="5" t="inlineStr">
        <is>
          <t>Over cement</t>
        </is>
      </c>
      <c r="U37" s="6" t="n">
        <v>4561</v>
      </c>
      <c r="W37" s="4" t="inlineStr">
        <is>
          <t>NIKE UPLIFT SC (MS/WS)</t>
        </is>
      </c>
      <c r="X37" s="5" t="inlineStr">
        <is>
          <t>Cleanness</t>
        </is>
      </c>
      <c r="Y37" s="6" t="n">
        <v>2792</v>
      </c>
    </row>
    <row r="38" ht="20" customHeight="1">
      <c r="A38" s="4">
        <f>H42</f>
        <v/>
      </c>
      <c r="B38" s="6">
        <f>I42</f>
        <v/>
      </c>
      <c r="C38" s="5">
        <f>G39</f>
        <v/>
      </c>
      <c r="D38" s="20" t="inlineStr">
        <is>
          <t>FTT</t>
        </is>
      </c>
      <c r="E38" s="21" t="inlineStr">
        <is>
          <t>VH2</t>
        </is>
      </c>
      <c r="G38" s="4" t="inlineStr">
        <is>
          <t>NIKE AIR MAX EXCEE (MS/WS)</t>
        </is>
      </c>
      <c r="H38" s="5" t="inlineStr">
        <is>
          <t>Over cement</t>
        </is>
      </c>
      <c r="I38" s="6" t="n">
        <v>4547</v>
      </c>
      <c r="K38" s="4" t="inlineStr">
        <is>
          <t>NIKE AIR WINFLO 12 GTX (MS/WS)</t>
        </is>
      </c>
      <c r="L38" s="5" t="inlineStr">
        <is>
          <t>Cleanness</t>
        </is>
      </c>
      <c r="M38" s="6" t="n">
        <v>1742</v>
      </c>
      <c r="O38" s="4" t="inlineStr">
        <is>
          <t>NIKE INITIATOR (MS/WS)</t>
        </is>
      </c>
      <c r="P38" s="5" t="inlineStr">
        <is>
          <t>Cleanness</t>
        </is>
      </c>
      <c r="Q38" s="6" t="n">
        <v>9919</v>
      </c>
      <c r="S38" s="4" t="inlineStr">
        <is>
          <t>NIKE RUN DEFY (MS/WS)</t>
        </is>
      </c>
      <c r="T38" s="5" t="inlineStr">
        <is>
          <t>Midsole/Outsole to upper bond gap</t>
        </is>
      </c>
      <c r="U38" s="6" t="n">
        <v>4505</v>
      </c>
      <c r="W38" s="4" t="inlineStr">
        <is>
          <t>NIKE UPLIFT SC (MS/WS)</t>
        </is>
      </c>
      <c r="X38" s="5" t="inlineStr">
        <is>
          <t>Midsole/Outsole to upper bond gap</t>
        </is>
      </c>
      <c r="Y38" s="6" t="n">
        <v>2655</v>
      </c>
    </row>
    <row r="39" ht="20" customHeight="1">
      <c r="A39" s="8">
        <f>L40</f>
        <v/>
      </c>
      <c r="B39" s="10">
        <f>M40</f>
        <v/>
      </c>
      <c r="C39" s="9">
        <f>K37</f>
        <v/>
      </c>
      <c r="D39" s="20" t="inlineStr">
        <is>
          <t>FTT</t>
        </is>
      </c>
      <c r="E39" s="22" t="inlineStr">
        <is>
          <t>VH2</t>
        </is>
      </c>
      <c r="G39" s="4" t="inlineStr">
        <is>
          <t>NIKE AIR MAX EXCEE (MS/WS)</t>
        </is>
      </c>
      <c r="H39" s="5" t="inlineStr">
        <is>
          <t>Midsole/Outsole to upper bond gap</t>
        </is>
      </c>
      <c r="I39" s="6" t="n">
        <v>3660</v>
      </c>
      <c r="K39" s="4" t="inlineStr">
        <is>
          <t>NIKE AIR WINFLO 12 GTX (MS/WS)</t>
        </is>
      </c>
      <c r="L39" s="5" t="inlineStr">
        <is>
          <t>Wrinkle bottom</t>
        </is>
      </c>
      <c r="M39" s="6" t="n">
        <v>1507</v>
      </c>
      <c r="O39" s="4" t="inlineStr">
        <is>
          <t>NIKE INITIATOR (MS/WS)</t>
        </is>
      </c>
      <c r="P39" s="5" t="inlineStr">
        <is>
          <t>Midsole/Outsole to upper bond gap</t>
        </is>
      </c>
      <c r="Q39" s="6" t="n">
        <v>9056</v>
      </c>
      <c r="S39" s="4" t="inlineStr">
        <is>
          <t>NIKE RUN DEFY (MS/WS)</t>
        </is>
      </c>
      <c r="T39" s="5" t="inlineStr">
        <is>
          <t>Cleanness</t>
        </is>
      </c>
      <c r="U39" s="6" t="n">
        <v>4434</v>
      </c>
      <c r="W39" s="4" t="inlineStr">
        <is>
          <t>NIKE UPLIFT SC (MS/WS)</t>
        </is>
      </c>
      <c r="X39" s="5" t="inlineStr">
        <is>
          <t>Over cement</t>
        </is>
      </c>
      <c r="Y39" s="6" t="n">
        <v>2084</v>
      </c>
    </row>
    <row r="40" ht="20" customHeight="1">
      <c r="A40" s="4">
        <f>L41</f>
        <v/>
      </c>
      <c r="B40" s="6">
        <f>M41</f>
        <v/>
      </c>
      <c r="C40" s="5">
        <f>K38</f>
        <v/>
      </c>
      <c r="D40" s="20" t="inlineStr">
        <is>
          <t>FTT</t>
        </is>
      </c>
      <c r="E40" s="21" t="inlineStr">
        <is>
          <t>VH2</t>
        </is>
      </c>
      <c r="H40">
        <f>SUBSTITUTE(H37,"Sum of ","")</f>
        <v/>
      </c>
      <c r="I40">
        <f>I37</f>
        <v/>
      </c>
      <c r="L40">
        <f>SUBSTITUTE(L37,"Sum of ","")</f>
        <v/>
      </c>
      <c r="M40">
        <f>M37</f>
        <v/>
      </c>
      <c r="P40">
        <f>SUBSTITUTE(P37,"Sum of ","")</f>
        <v/>
      </c>
      <c r="Q40">
        <f>Q37</f>
        <v/>
      </c>
      <c r="T40">
        <f>SUBSTITUTE(T37,"Sum of ","")</f>
        <v/>
      </c>
      <c r="U40">
        <f>U37</f>
        <v/>
      </c>
      <c r="X40">
        <f>SUBSTITUTE(X37,"Sum of ","")</f>
        <v/>
      </c>
      <c r="Y40">
        <f>Y37</f>
        <v/>
      </c>
    </row>
    <row r="41" ht="20" customHeight="1">
      <c r="A41" s="8">
        <f>L42</f>
        <v/>
      </c>
      <c r="B41" s="10">
        <f>M42</f>
        <v/>
      </c>
      <c r="C41" s="9">
        <f>K39</f>
        <v/>
      </c>
      <c r="D41" s="20" t="inlineStr">
        <is>
          <t>FTT</t>
        </is>
      </c>
      <c r="E41" s="22" t="inlineStr">
        <is>
          <t>VH2</t>
        </is>
      </c>
      <c r="H41">
        <f>SUBSTITUTE(H38,"Sum of ","")</f>
        <v/>
      </c>
      <c r="I41">
        <f>I38</f>
        <v/>
      </c>
      <c r="L41">
        <f>SUBSTITUTE(L38,"Sum of ","")</f>
        <v/>
      </c>
      <c r="M41">
        <f>M38</f>
        <v/>
      </c>
      <c r="P41">
        <f>SUBSTITUTE(P38,"Sum of ","")</f>
        <v/>
      </c>
      <c r="Q41">
        <f>Q38</f>
        <v/>
      </c>
      <c r="T41">
        <f>SUBSTITUTE(T38,"Sum of ","")</f>
        <v/>
      </c>
      <c r="U41">
        <f>U38</f>
        <v/>
      </c>
      <c r="X41">
        <f>SUBSTITUTE(X38,"Sum of ","")</f>
        <v/>
      </c>
      <c r="Y41">
        <f>Y38</f>
        <v/>
      </c>
    </row>
    <row r="42" ht="20" customHeight="1">
      <c r="A42" s="4">
        <f>P40</f>
        <v/>
      </c>
      <c r="B42" s="6">
        <f>Q40</f>
        <v/>
      </c>
      <c r="C42" s="5">
        <f>O37</f>
        <v/>
      </c>
      <c r="D42" s="20" t="inlineStr">
        <is>
          <t>FTT</t>
        </is>
      </c>
      <c r="E42" s="21" t="inlineStr">
        <is>
          <t>VH2</t>
        </is>
      </c>
      <c r="H42">
        <f>SUBSTITUTE(H39,"Sum of ","")</f>
        <v/>
      </c>
      <c r="I42">
        <f>I39</f>
        <v/>
      </c>
      <c r="L42">
        <f>SUBSTITUTE(L39,"Sum of ","")</f>
        <v/>
      </c>
      <c r="M42">
        <f>M39</f>
        <v/>
      </c>
      <c r="P42">
        <f>SUBSTITUTE(P39,"Sum of ","")</f>
        <v/>
      </c>
      <c r="Q42">
        <f>Q39</f>
        <v/>
      </c>
      <c r="T42">
        <f>SUBSTITUTE(T39,"Sum of ","")</f>
        <v/>
      </c>
      <c r="U42">
        <f>U39</f>
        <v/>
      </c>
      <c r="X42">
        <f>SUBSTITUTE(X39,"Sum of ","")</f>
        <v/>
      </c>
      <c r="Y42">
        <f>Y39</f>
        <v/>
      </c>
    </row>
    <row r="43" ht="20" customHeight="1">
      <c r="A43" s="8">
        <f>P41</f>
        <v/>
      </c>
      <c r="B43" s="10">
        <f>Q41</f>
        <v/>
      </c>
      <c r="C43" s="9">
        <f>O38</f>
        <v/>
      </c>
      <c r="D43" s="20" t="inlineStr">
        <is>
          <t>FTT</t>
        </is>
      </c>
      <c r="E43" s="22" t="inlineStr">
        <is>
          <t>VH2</t>
        </is>
      </c>
    </row>
    <row r="44" ht="20" customHeight="1">
      <c r="A44" s="4">
        <f>P42</f>
        <v/>
      </c>
      <c r="B44" s="6">
        <f>Q42</f>
        <v/>
      </c>
      <c r="C44" s="5">
        <f>O39</f>
        <v/>
      </c>
      <c r="D44" s="20" t="inlineStr">
        <is>
          <t>FTT</t>
        </is>
      </c>
      <c r="E44" s="21" t="inlineStr">
        <is>
          <t>VH2</t>
        </is>
      </c>
    </row>
    <row r="45" ht="20" customHeight="1">
      <c r="A45" s="8">
        <f>T40</f>
        <v/>
      </c>
      <c r="B45" s="10">
        <f>U40</f>
        <v/>
      </c>
      <c r="C45" s="9">
        <f>S37</f>
        <v/>
      </c>
      <c r="D45" s="20" t="inlineStr">
        <is>
          <t>FTT</t>
        </is>
      </c>
      <c r="E45" s="22" t="inlineStr">
        <is>
          <t>VH2</t>
        </is>
      </c>
    </row>
    <row r="46" ht="20" customHeight="1">
      <c r="A46" s="4">
        <f>T41</f>
        <v/>
      </c>
      <c r="B46" s="6">
        <f>U41</f>
        <v/>
      </c>
      <c r="C46" s="5">
        <f>S38</f>
        <v/>
      </c>
      <c r="D46" s="20" t="inlineStr">
        <is>
          <t>FTT</t>
        </is>
      </c>
      <c r="E46" s="21" t="inlineStr">
        <is>
          <t>VH2</t>
        </is>
      </c>
    </row>
    <row r="47" ht="20" customHeight="1">
      <c r="A47" s="8">
        <f>T42</f>
        <v/>
      </c>
      <c r="B47" s="10">
        <f>U42</f>
        <v/>
      </c>
      <c r="C47" s="9">
        <f>S39</f>
        <v/>
      </c>
      <c r="D47" s="20" t="inlineStr">
        <is>
          <t>FTT</t>
        </is>
      </c>
      <c r="E47" s="22" t="inlineStr">
        <is>
          <t>VH2</t>
        </is>
      </c>
    </row>
    <row r="48" ht="20" customHeight="1">
      <c r="A48" s="4">
        <f>X40</f>
        <v/>
      </c>
      <c r="B48" s="6">
        <f>Y40</f>
        <v/>
      </c>
      <c r="C48" s="5">
        <f>W37</f>
        <v/>
      </c>
      <c r="D48" s="20" t="inlineStr">
        <is>
          <t>FTT</t>
        </is>
      </c>
      <c r="E48" s="21" t="inlineStr">
        <is>
          <t>VH2</t>
        </is>
      </c>
    </row>
    <row r="49" ht="24" customHeight="1">
      <c r="A49" s="8">
        <f>X41</f>
        <v/>
      </c>
      <c r="B49" s="10">
        <f>Y41</f>
        <v/>
      </c>
      <c r="C49" s="9">
        <f>W38</f>
        <v/>
      </c>
      <c r="D49" s="20" t="inlineStr">
        <is>
          <t>FTT</t>
        </is>
      </c>
      <c r="E49" s="22" t="inlineStr">
        <is>
          <t>VH2</t>
        </is>
      </c>
      <c r="G49" s="2" t="inlineStr">
        <is>
          <t>FACTORY VH2 — RE-INSPECTION (INITIAL AUDIT - QC)</t>
        </is>
      </c>
    </row>
    <row r="50" ht="20" customHeight="1">
      <c r="A50" s="4">
        <f>X42</f>
        <v/>
      </c>
      <c r="B50" s="6">
        <f>Y42</f>
        <v/>
      </c>
      <c r="C50" s="5">
        <f>W39</f>
        <v/>
      </c>
      <c r="D50" s="20" t="inlineStr">
        <is>
          <t>FTT</t>
        </is>
      </c>
      <c r="E50" s="21" t="inlineStr">
        <is>
          <t>VH2</t>
        </is>
      </c>
    </row>
    <row r="51" ht="20" customHeight="1">
      <c r="A51" s="8">
        <f>H55</f>
        <v/>
      </c>
      <c r="B51" s="10">
        <f>I55</f>
        <v/>
      </c>
      <c r="C51" s="9">
        <f>C36</f>
        <v/>
      </c>
      <c r="D51" s="23" t="inlineStr">
        <is>
          <t>Re-ins</t>
        </is>
      </c>
      <c r="E51" s="22" t="inlineStr">
        <is>
          <t>VH2</t>
        </is>
      </c>
      <c r="G51" s="3" t="inlineStr">
        <is>
          <t>Model Name</t>
        </is>
      </c>
      <c r="H51" s="3" t="inlineStr">
        <is>
          <t>Defect Issue</t>
        </is>
      </c>
      <c r="I51" s="3" t="inlineStr">
        <is>
          <t>Defect Qty</t>
        </is>
      </c>
      <c r="K51" s="3" t="inlineStr">
        <is>
          <t>Model Name</t>
        </is>
      </c>
      <c r="L51" s="3" t="inlineStr">
        <is>
          <t>Defect Issue</t>
        </is>
      </c>
      <c r="M51" s="3" t="inlineStr">
        <is>
          <t>Defect Qty</t>
        </is>
      </c>
      <c r="O51" s="3" t="inlineStr">
        <is>
          <t>Model Name</t>
        </is>
      </c>
      <c r="P51" s="3" t="inlineStr">
        <is>
          <t>Defect Issue</t>
        </is>
      </c>
      <c r="Q51" s="3" t="inlineStr">
        <is>
          <t>Defect Qty</t>
        </is>
      </c>
      <c r="S51" s="3" t="inlineStr">
        <is>
          <t>Model Name</t>
        </is>
      </c>
      <c r="T51" s="3" t="inlineStr">
        <is>
          <t>Defect Issue</t>
        </is>
      </c>
      <c r="U51" s="3" t="inlineStr">
        <is>
          <t>Defect Qty</t>
        </is>
      </c>
      <c r="W51" s="3" t="inlineStr">
        <is>
          <t>Model Name</t>
        </is>
      </c>
      <c r="X51" s="3" t="inlineStr">
        <is>
          <t>Defect Issue</t>
        </is>
      </c>
      <c r="Y51" s="3" t="inlineStr">
        <is>
          <t>Defect Qty</t>
        </is>
      </c>
    </row>
    <row r="52" ht="20" customHeight="1">
      <c r="A52" s="4">
        <f>H56</f>
        <v/>
      </c>
      <c r="B52" s="6">
        <f>I56</f>
        <v/>
      </c>
      <c r="C52" s="5">
        <f>C37</f>
        <v/>
      </c>
      <c r="D52" s="23" t="inlineStr">
        <is>
          <t>Re-ins</t>
        </is>
      </c>
      <c r="E52" s="21" t="inlineStr">
        <is>
          <t>VH2</t>
        </is>
      </c>
      <c r="G52" s="4" t="inlineStr">
        <is>
          <t>NIKE AIR MAX EXCEE (MS/WS)</t>
        </is>
      </c>
      <c r="H52" s="5" t="inlineStr">
        <is>
          <t>Sum of Over cement</t>
        </is>
      </c>
      <c r="I52" s="6" t="n">
        <v>19</v>
      </c>
      <c r="K52" s="4" t="inlineStr">
        <is>
          <t>NIKE AIR WINFLO 12 GTX (MS/WS)</t>
        </is>
      </c>
      <c r="L52" s="5" t="inlineStr">
        <is>
          <t>Sum of Over cement</t>
        </is>
      </c>
      <c r="M52" s="6" t="n">
        <v>22</v>
      </c>
      <c r="O52" s="4" t="inlineStr">
        <is>
          <t>NIKE INITIATOR (MS/WS)</t>
        </is>
      </c>
      <c r="P52" s="5" t="inlineStr">
        <is>
          <t>Sum of Midsole/Outsole to upper bond gap</t>
        </is>
      </c>
      <c r="Q52" s="6" t="n">
        <v>4</v>
      </c>
      <c r="S52" s="4" t="inlineStr">
        <is>
          <t>NIKE RUN DEFY (MS/WS)</t>
        </is>
      </c>
      <c r="T52" s="5" t="inlineStr">
        <is>
          <t>Sum of Midsole/Outsole to upper bond gap</t>
        </is>
      </c>
      <c r="U52" s="6" t="n">
        <v>20</v>
      </c>
      <c r="W52" s="4" t="inlineStr">
        <is>
          <t>NIKE UPLIFT SC (MS/WS)</t>
        </is>
      </c>
      <c r="X52" s="5" t="inlineStr">
        <is>
          <t>Sum of Over cement</t>
        </is>
      </c>
      <c r="Y52" s="6" t="n">
        <v>6</v>
      </c>
    </row>
    <row r="53" ht="20" customHeight="1">
      <c r="A53" s="8">
        <f>H57</f>
        <v/>
      </c>
      <c r="B53" s="10">
        <f>I57</f>
        <v/>
      </c>
      <c r="C53" s="9">
        <f>C38</f>
        <v/>
      </c>
      <c r="D53" s="23" t="inlineStr">
        <is>
          <t>Re-ins</t>
        </is>
      </c>
      <c r="E53" s="22" t="inlineStr">
        <is>
          <t>VH2</t>
        </is>
      </c>
      <c r="G53" s="4" t="inlineStr">
        <is>
          <t>NIKE AIR MAX EXCEE (MS/WS)</t>
        </is>
      </c>
      <c r="H53" s="5" t="inlineStr">
        <is>
          <t>Sum of Others</t>
        </is>
      </c>
      <c r="I53" s="6" t="n">
        <v>17</v>
      </c>
      <c r="K53" s="4" t="inlineStr">
        <is>
          <t>NIKE AIR WINFLO 12 GTX (MS/WS)</t>
        </is>
      </c>
      <c r="L53" s="5" t="inlineStr">
        <is>
          <t>Sum of Cleanness</t>
        </is>
      </c>
      <c r="M53" s="6" t="n">
        <v>7</v>
      </c>
      <c r="O53" s="4" t="inlineStr">
        <is>
          <t>NIKE INITIATOR (MS/WS)</t>
        </is>
      </c>
      <c r="P53" s="5" t="inlineStr">
        <is>
          <t>Sum of Thread end</t>
        </is>
      </c>
      <c r="Q53" s="6" t="n">
        <v>3</v>
      </c>
      <c r="S53" s="4" t="inlineStr">
        <is>
          <t>NIKE RUN DEFY (MS/WS)</t>
        </is>
      </c>
      <c r="T53" s="5" t="inlineStr">
        <is>
          <t>Sum of Wrinkle collar lining</t>
        </is>
      </c>
      <c r="U53" s="6" t="n">
        <v>7</v>
      </c>
      <c r="W53" s="4" t="inlineStr">
        <is>
          <t>NIKE UPLIFT SC (MS/WS)</t>
        </is>
      </c>
      <c r="X53" s="5" t="inlineStr">
        <is>
          <t>Sum of Collar shape</t>
        </is>
      </c>
      <c r="Y53" s="6" t="n">
        <v>4</v>
      </c>
    </row>
    <row r="54" ht="20" customHeight="1">
      <c r="A54" s="4">
        <f>L55</f>
        <v/>
      </c>
      <c r="B54" s="6">
        <f>M55</f>
        <v/>
      </c>
      <c r="C54" s="5">
        <f>C39</f>
        <v/>
      </c>
      <c r="D54" s="23" t="inlineStr">
        <is>
          <t>Re-ins</t>
        </is>
      </c>
      <c r="E54" s="21" t="inlineStr">
        <is>
          <t>VH2</t>
        </is>
      </c>
      <c r="G54" s="4" t="inlineStr">
        <is>
          <t>NIKE AIR MAX EXCEE (MS/WS)</t>
        </is>
      </c>
      <c r="H54" s="5" t="inlineStr">
        <is>
          <t>Sum of Midsole/Outsole to upper bond gap</t>
        </is>
      </c>
      <c r="I54" s="6" t="n">
        <v>17</v>
      </c>
      <c r="K54" s="4" t="inlineStr">
        <is>
          <t>NIKE AIR WINFLO 12 GTX (MS/WS)</t>
        </is>
      </c>
      <c r="L54" s="5" t="inlineStr">
        <is>
          <t>Sum of Bottom Cosmetic</t>
        </is>
      </c>
      <c r="M54" s="6" t="n">
        <v>3</v>
      </c>
      <c r="O54" s="4" t="inlineStr">
        <is>
          <t>NIKE INITIATOR (MS/WS)</t>
        </is>
      </c>
      <c r="P54" s="5" t="inlineStr">
        <is>
          <t>Sum of Cleanness</t>
        </is>
      </c>
      <c r="Q54" s="6" t="n">
        <v>3</v>
      </c>
      <c r="S54" s="4" t="inlineStr">
        <is>
          <t>NIKE RUN DEFY (MS/WS)</t>
        </is>
      </c>
      <c r="T54" s="5" t="inlineStr">
        <is>
          <t>Sum of Nosew bond gap</t>
        </is>
      </c>
      <c r="U54" s="6" t="n">
        <v>3</v>
      </c>
      <c r="W54" s="4" t="inlineStr">
        <is>
          <t>NIKE UPLIFT SC (MS/WS)</t>
        </is>
      </c>
      <c r="X54" s="5" t="inlineStr">
        <is>
          <t>Sum of Cleanness</t>
        </is>
      </c>
      <c r="Y54" s="6" t="n">
        <v>4</v>
      </c>
    </row>
    <row r="55" ht="20" customHeight="1">
      <c r="A55" s="8">
        <f>L56</f>
        <v/>
      </c>
      <c r="B55" s="10">
        <f>M56</f>
        <v/>
      </c>
      <c r="C55" s="9">
        <f>C40</f>
        <v/>
      </c>
      <c r="D55" s="23" t="inlineStr">
        <is>
          <t>Re-ins</t>
        </is>
      </c>
      <c r="E55" s="22" t="inlineStr">
        <is>
          <t>VH2</t>
        </is>
      </c>
      <c r="H55">
        <f>SUBSTITUTE(H52,"Sum of ","")</f>
        <v/>
      </c>
      <c r="I55">
        <f>I52</f>
        <v/>
      </c>
      <c r="L55">
        <f>SUBSTITUTE(L52,"Sum of ","")</f>
        <v/>
      </c>
      <c r="M55">
        <f>M52</f>
        <v/>
      </c>
      <c r="P55">
        <f>SUBSTITUTE(P52,"Sum of ","")</f>
        <v/>
      </c>
      <c r="Q55">
        <f>Q52</f>
        <v/>
      </c>
      <c r="T55">
        <f>SUBSTITUTE(T52,"Sum of ","")</f>
        <v/>
      </c>
      <c r="U55">
        <f>U52</f>
        <v/>
      </c>
      <c r="X55">
        <f>SUBSTITUTE(X52,"Sum of ","")</f>
        <v/>
      </c>
      <c r="Y55">
        <f>Y52</f>
        <v/>
      </c>
    </row>
    <row r="56" ht="20" customHeight="1">
      <c r="A56" s="4">
        <f>L57</f>
        <v/>
      </c>
      <c r="B56" s="6">
        <f>M57</f>
        <v/>
      </c>
      <c r="C56" s="5">
        <f>C41</f>
        <v/>
      </c>
      <c r="D56" s="23" t="inlineStr">
        <is>
          <t>Re-ins</t>
        </is>
      </c>
      <c r="E56" s="21" t="inlineStr">
        <is>
          <t>VH2</t>
        </is>
      </c>
      <c r="H56">
        <f>SUBSTITUTE(H53,"Sum of ","")</f>
        <v/>
      </c>
      <c r="I56">
        <f>I53</f>
        <v/>
      </c>
      <c r="L56">
        <f>SUBSTITUTE(L53,"Sum of ","")</f>
        <v/>
      </c>
      <c r="M56">
        <f>M53</f>
        <v/>
      </c>
      <c r="P56">
        <f>SUBSTITUTE(P53,"Sum of ","")</f>
        <v/>
      </c>
      <c r="Q56">
        <f>Q53</f>
        <v/>
      </c>
      <c r="T56">
        <f>SUBSTITUTE(T53,"Sum of ","")</f>
        <v/>
      </c>
      <c r="U56">
        <f>U53</f>
        <v/>
      </c>
      <c r="X56">
        <f>SUBSTITUTE(X53,"Sum of ","")</f>
        <v/>
      </c>
      <c r="Y56">
        <f>Y53</f>
        <v/>
      </c>
    </row>
    <row r="57" ht="20" customHeight="1">
      <c r="A57" s="8">
        <f>P55</f>
        <v/>
      </c>
      <c r="B57" s="10">
        <f>Q55</f>
        <v/>
      </c>
      <c r="C57" s="9">
        <f>C42</f>
        <v/>
      </c>
      <c r="D57" s="23" t="inlineStr">
        <is>
          <t>Re-ins</t>
        </is>
      </c>
      <c r="E57" s="22" t="inlineStr">
        <is>
          <t>VH2</t>
        </is>
      </c>
      <c r="H57">
        <f>SUBSTITUTE(H54,"Sum of ","")</f>
        <v/>
      </c>
      <c r="I57">
        <f>I54</f>
        <v/>
      </c>
      <c r="L57">
        <f>SUBSTITUTE(L54,"Sum of ","")</f>
        <v/>
      </c>
      <c r="M57">
        <f>M54</f>
        <v/>
      </c>
      <c r="P57">
        <f>SUBSTITUTE(P54,"Sum of ","")</f>
        <v/>
      </c>
      <c r="Q57">
        <f>Q54</f>
        <v/>
      </c>
      <c r="T57">
        <f>SUBSTITUTE(T54,"Sum of ","")</f>
        <v/>
      </c>
      <c r="U57">
        <f>U54</f>
        <v/>
      </c>
      <c r="X57">
        <f>SUBSTITUTE(X54,"Sum of ","")</f>
        <v/>
      </c>
      <c r="Y57">
        <f>Y54</f>
        <v/>
      </c>
    </row>
    <row r="58" ht="20" customHeight="1">
      <c r="A58" s="4">
        <f>P56</f>
        <v/>
      </c>
      <c r="B58" s="6">
        <f>Q56</f>
        <v/>
      </c>
      <c r="C58" s="5">
        <f>C43</f>
        <v/>
      </c>
      <c r="D58" s="23" t="inlineStr">
        <is>
          <t>Re-ins</t>
        </is>
      </c>
      <c r="E58" s="21" t="inlineStr">
        <is>
          <t>VH2</t>
        </is>
      </c>
    </row>
    <row r="59" ht="20" customHeight="1">
      <c r="A59" s="8">
        <f>P57</f>
        <v/>
      </c>
      <c r="B59" s="10">
        <f>Q57</f>
        <v/>
      </c>
      <c r="C59" s="9">
        <f>C44</f>
        <v/>
      </c>
      <c r="D59" s="23" t="inlineStr">
        <is>
          <t>Re-ins</t>
        </is>
      </c>
      <c r="E59" s="22" t="inlineStr">
        <is>
          <t>VH2</t>
        </is>
      </c>
    </row>
    <row r="60" ht="20" customHeight="1">
      <c r="A60" s="4">
        <f>T55</f>
        <v/>
      </c>
      <c r="B60" s="6">
        <f>U55</f>
        <v/>
      </c>
      <c r="C60" s="5">
        <f>C45</f>
        <v/>
      </c>
      <c r="D60" s="23" t="inlineStr">
        <is>
          <t>Re-ins</t>
        </is>
      </c>
      <c r="E60" s="21" t="inlineStr">
        <is>
          <t>VH2</t>
        </is>
      </c>
    </row>
    <row r="61" ht="20" customHeight="1">
      <c r="A61" s="8">
        <f>T56</f>
        <v/>
      </c>
      <c r="B61" s="10">
        <f>U56</f>
        <v/>
      </c>
      <c r="C61" s="9">
        <f>C46</f>
        <v/>
      </c>
      <c r="D61" s="23" t="inlineStr">
        <is>
          <t>Re-ins</t>
        </is>
      </c>
      <c r="E61" s="22" t="inlineStr">
        <is>
          <t>VH2</t>
        </is>
      </c>
    </row>
    <row r="62" ht="20" customHeight="1">
      <c r="A62" s="4">
        <f>T57</f>
        <v/>
      </c>
      <c r="B62" s="6">
        <f>U57</f>
        <v/>
      </c>
      <c r="C62" s="5">
        <f>C47</f>
        <v/>
      </c>
      <c r="D62" s="23" t="inlineStr">
        <is>
          <t>Re-ins</t>
        </is>
      </c>
      <c r="E62" s="21" t="inlineStr">
        <is>
          <t>VH2</t>
        </is>
      </c>
    </row>
    <row r="63" ht="20" customHeight="1">
      <c r="A63" s="8">
        <f>X55</f>
        <v/>
      </c>
      <c r="B63" s="10">
        <f>Y55</f>
        <v/>
      </c>
      <c r="C63" s="9">
        <f>C48</f>
        <v/>
      </c>
      <c r="D63" s="23" t="inlineStr">
        <is>
          <t>Re-ins</t>
        </is>
      </c>
      <c r="E63" s="22" t="inlineStr">
        <is>
          <t>VH2</t>
        </is>
      </c>
    </row>
    <row r="64" ht="24" customHeight="1">
      <c r="A64" s="4">
        <f>X56</f>
        <v/>
      </c>
      <c r="B64" s="6">
        <f>Y56</f>
        <v/>
      </c>
      <c r="C64" s="5">
        <f>C49</f>
        <v/>
      </c>
      <c r="D64" s="23" t="inlineStr">
        <is>
          <t>Re-ins</t>
        </is>
      </c>
      <c r="E64" s="21" t="inlineStr">
        <is>
          <t>VH2</t>
        </is>
      </c>
      <c r="G64" s="2" t="inlineStr">
        <is>
          <t>FACTORY JV — FTT TOP DEFECTS PER MODEL</t>
        </is>
      </c>
    </row>
    <row r="65" ht="20" customHeight="1">
      <c r="A65" s="8">
        <f>X57</f>
        <v/>
      </c>
      <c r="B65" s="10">
        <f>Y57</f>
        <v/>
      </c>
      <c r="C65" s="9">
        <f>C50</f>
        <v/>
      </c>
      <c r="D65" s="23" t="inlineStr">
        <is>
          <t>Re-ins</t>
        </is>
      </c>
      <c r="E65" s="22" t="inlineStr">
        <is>
          <t>VH2</t>
        </is>
      </c>
    </row>
    <row r="66" ht="20" customHeight="1">
      <c r="A66" s="4">
        <f>H70</f>
        <v/>
      </c>
      <c r="B66" s="6">
        <f>I70</f>
        <v/>
      </c>
      <c r="C66" s="5">
        <f>G67</f>
        <v/>
      </c>
      <c r="D66" s="20" t="inlineStr">
        <is>
          <t>FTT</t>
        </is>
      </c>
      <c r="E66" s="21" t="inlineStr">
        <is>
          <t>JV</t>
        </is>
      </c>
      <c r="G66" s="3" t="inlineStr">
        <is>
          <t>Model Name</t>
        </is>
      </c>
      <c r="H66" s="3" t="inlineStr">
        <is>
          <t>Defect Issue</t>
        </is>
      </c>
      <c r="I66" s="3" t="inlineStr">
        <is>
          <t>Total Qty</t>
        </is>
      </c>
      <c r="K66" s="3" t="inlineStr">
        <is>
          <t>Model Name</t>
        </is>
      </c>
      <c r="L66" s="3" t="inlineStr">
        <is>
          <t>Defect Issue</t>
        </is>
      </c>
      <c r="M66" s="3" t="inlineStr">
        <is>
          <t>Total Qty</t>
        </is>
      </c>
      <c r="O66" s="3" t="inlineStr">
        <is>
          <t>Model Name</t>
        </is>
      </c>
      <c r="P66" s="3" t="inlineStr">
        <is>
          <t>Defect Issue</t>
        </is>
      </c>
      <c r="Q66" s="3" t="inlineStr">
        <is>
          <t>Total Qty</t>
        </is>
      </c>
      <c r="S66" s="3" t="inlineStr">
        <is>
          <t>Model Name</t>
        </is>
      </c>
      <c r="T66" s="3" t="inlineStr">
        <is>
          <t>Defect Issue</t>
        </is>
      </c>
      <c r="U66" s="3" t="inlineStr">
        <is>
          <t>Total Qty</t>
        </is>
      </c>
      <c r="W66" s="3" t="inlineStr">
        <is>
          <t>Model Name</t>
        </is>
      </c>
      <c r="X66" s="3" t="inlineStr">
        <is>
          <t>Defect Issue</t>
        </is>
      </c>
      <c r="Y66" s="3" t="inlineStr">
        <is>
          <t>Total Qty</t>
        </is>
      </c>
    </row>
    <row r="67" ht="20" customHeight="1">
      <c r="A67" s="8">
        <f>H71</f>
        <v/>
      </c>
      <c r="B67" s="10">
        <f>I71</f>
        <v/>
      </c>
      <c r="C67" s="9">
        <f>G68</f>
        <v/>
      </c>
      <c r="D67" s="20" t="inlineStr">
        <is>
          <t>FTT</t>
        </is>
      </c>
      <c r="E67" s="22" t="inlineStr">
        <is>
          <t>JV</t>
        </is>
      </c>
      <c r="G67" s="4" t="inlineStr">
        <is>
          <t>NIKE AIR MAX MOTION 2 (MS/WS)</t>
        </is>
      </c>
      <c r="H67" s="5" t="inlineStr">
        <is>
          <t>Midsole/Outsole to upper bond gap</t>
        </is>
      </c>
      <c r="I67" s="6" t="n">
        <v>499</v>
      </c>
      <c r="K67" s="4" t="inlineStr">
        <is>
          <t>NIKE AIR MAX SC (MS/WS)</t>
        </is>
      </c>
      <c r="L67" s="5" t="inlineStr">
        <is>
          <t>Over cement</t>
        </is>
      </c>
      <c r="M67" s="6" t="n">
        <v>1561</v>
      </c>
      <c r="O67" s="4" t="inlineStr">
        <is>
          <t>NIKE COURT BOROUGH MID (PSV)</t>
        </is>
      </c>
      <c r="P67" s="5" t="inlineStr">
        <is>
          <t>Over cement</t>
        </is>
      </c>
      <c r="Q67" s="6" t="n">
        <v>431</v>
      </c>
      <c r="S67" s="4" t="inlineStr">
        <is>
          <t>NIKE EBERNON LOW (MS/WS)</t>
        </is>
      </c>
      <c r="T67" s="5" t="inlineStr">
        <is>
          <t>Cleanness</t>
        </is>
      </c>
      <c r="U67" s="6" t="n">
        <v>1634</v>
      </c>
      <c r="W67" s="4" t="inlineStr">
        <is>
          <t>NIKE INITIATOR (MS/WS)</t>
        </is>
      </c>
      <c r="X67" s="5" t="inlineStr">
        <is>
          <t>Over cement</t>
        </is>
      </c>
      <c r="Y67" s="6" t="n">
        <v>2959</v>
      </c>
    </row>
    <row r="68" ht="20" customHeight="1">
      <c r="A68" s="4">
        <f>H72</f>
        <v/>
      </c>
      <c r="B68" s="6">
        <f>I72</f>
        <v/>
      </c>
      <c r="C68" s="5">
        <f>G69</f>
        <v/>
      </c>
      <c r="D68" s="20" t="inlineStr">
        <is>
          <t>FTT</t>
        </is>
      </c>
      <c r="E68" s="21" t="inlineStr">
        <is>
          <t>JV</t>
        </is>
      </c>
      <c r="G68" s="4" t="inlineStr">
        <is>
          <t>NIKE AIR MAX MOTION 2 (MS/WS)</t>
        </is>
      </c>
      <c r="H68" s="5" t="inlineStr">
        <is>
          <t>Over cement</t>
        </is>
      </c>
      <c r="I68" s="6" t="n">
        <v>476</v>
      </c>
      <c r="K68" s="4" t="inlineStr">
        <is>
          <t>NIKE AIR MAX SC (MS/WS)</t>
        </is>
      </c>
      <c r="L68" s="5" t="inlineStr">
        <is>
          <t>Thread end</t>
        </is>
      </c>
      <c r="M68" s="6" t="n">
        <v>1471</v>
      </c>
      <c r="O68" s="4" t="inlineStr">
        <is>
          <t>NIKE COURT BOROUGH MID (PSV)</t>
        </is>
      </c>
      <c r="P68" s="5" t="inlineStr">
        <is>
          <t>Cleanness</t>
        </is>
      </c>
      <c r="Q68" s="6" t="n">
        <v>413</v>
      </c>
      <c r="S68" s="4" t="inlineStr">
        <is>
          <t>NIKE EBERNON LOW (MS/WS)</t>
        </is>
      </c>
      <c r="T68" s="5" t="inlineStr">
        <is>
          <t>Midsole/Outsole to upper bond gap</t>
        </is>
      </c>
      <c r="U68" s="6" t="n">
        <v>1592</v>
      </c>
      <c r="W68" s="4" t="inlineStr">
        <is>
          <t>NIKE INITIATOR (MS/WS)</t>
        </is>
      </c>
      <c r="X68" s="5" t="inlineStr">
        <is>
          <t>Midsole/Outsole to upper bond gap</t>
        </is>
      </c>
      <c r="Y68" s="6" t="n">
        <v>2817</v>
      </c>
    </row>
    <row r="69" ht="20" customHeight="1">
      <c r="A69" s="8">
        <f>L70</f>
        <v/>
      </c>
      <c r="B69" s="10">
        <f>M70</f>
        <v/>
      </c>
      <c r="C69" s="9">
        <f>K67</f>
        <v/>
      </c>
      <c r="D69" s="20" t="inlineStr">
        <is>
          <t>FTT</t>
        </is>
      </c>
      <c r="E69" s="22" t="inlineStr">
        <is>
          <t>JV</t>
        </is>
      </c>
      <c r="G69" s="4" t="inlineStr">
        <is>
          <t>NIKE AIR MAX MOTION 2 (MS/WS)</t>
        </is>
      </c>
      <c r="H69" s="5" t="inlineStr">
        <is>
          <t>Cleanness</t>
        </is>
      </c>
      <c r="I69" s="6" t="n">
        <v>460</v>
      </c>
      <c r="K69" s="4" t="inlineStr">
        <is>
          <t>NIKE AIR MAX SC (MS/WS)</t>
        </is>
      </c>
      <c r="L69" s="5" t="inlineStr">
        <is>
          <t>Midsole/Outsole to upper bond gap</t>
        </is>
      </c>
      <c r="M69" s="6" t="n">
        <v>1300</v>
      </c>
      <c r="O69" s="4" t="inlineStr">
        <is>
          <t>NIKE COURT BOROUGH MID (PSV)</t>
        </is>
      </c>
      <c r="P69" s="5" t="inlineStr">
        <is>
          <t>Midsole/Outsole to upper bond gap</t>
        </is>
      </c>
      <c r="Q69" s="6" t="n">
        <v>405</v>
      </c>
      <c r="S69" s="4" t="inlineStr">
        <is>
          <t>NIKE EBERNON LOW (MS/WS)</t>
        </is>
      </c>
      <c r="T69" s="5" t="inlineStr">
        <is>
          <t>Over buffing</t>
        </is>
      </c>
      <c r="U69" s="6" t="n">
        <v>1376</v>
      </c>
      <c r="W69" s="4" t="inlineStr">
        <is>
          <t>NIKE INITIATOR (MS/WS)</t>
        </is>
      </c>
      <c r="X69" s="5" t="inlineStr">
        <is>
          <t>Thread end</t>
        </is>
      </c>
      <c r="Y69" s="6" t="n">
        <v>2684</v>
      </c>
    </row>
    <row r="70" ht="20" customHeight="1">
      <c r="A70" s="4">
        <f>L71</f>
        <v/>
      </c>
      <c r="B70" s="6">
        <f>M71</f>
        <v/>
      </c>
      <c r="C70" s="5">
        <f>K68</f>
        <v/>
      </c>
      <c r="D70" s="20" t="inlineStr">
        <is>
          <t>FTT</t>
        </is>
      </c>
      <c r="E70" s="21" t="inlineStr">
        <is>
          <t>JV</t>
        </is>
      </c>
      <c r="H70">
        <f>SUBSTITUTE(H67,"Sum of ","")</f>
        <v/>
      </c>
      <c r="I70">
        <f>I67</f>
        <v/>
      </c>
      <c r="L70">
        <f>SUBSTITUTE(L67,"Sum of ","")</f>
        <v/>
      </c>
      <c r="M70">
        <f>M67</f>
        <v/>
      </c>
      <c r="P70">
        <f>SUBSTITUTE(P67,"Sum of ","")</f>
        <v/>
      </c>
      <c r="Q70">
        <f>Q67</f>
        <v/>
      </c>
      <c r="T70">
        <f>SUBSTITUTE(T67,"Sum of ","")</f>
        <v/>
      </c>
      <c r="U70">
        <f>U67</f>
        <v/>
      </c>
      <c r="X70">
        <f>SUBSTITUTE(X67,"Sum of ","")</f>
        <v/>
      </c>
      <c r="Y70">
        <f>Y67</f>
        <v/>
      </c>
    </row>
    <row r="71" ht="20" customHeight="1">
      <c r="A71" s="8">
        <f>L72</f>
        <v/>
      </c>
      <c r="B71" s="10">
        <f>M72</f>
        <v/>
      </c>
      <c r="C71" s="9">
        <f>K69</f>
        <v/>
      </c>
      <c r="D71" s="20" t="inlineStr">
        <is>
          <t>FTT</t>
        </is>
      </c>
      <c r="E71" s="22" t="inlineStr">
        <is>
          <t>JV</t>
        </is>
      </c>
      <c r="H71">
        <f>SUBSTITUTE(H68,"Sum of ","")</f>
        <v/>
      </c>
      <c r="I71">
        <f>I68</f>
        <v/>
      </c>
      <c r="L71">
        <f>SUBSTITUTE(L68,"Sum of ","")</f>
        <v/>
      </c>
      <c r="M71">
        <f>M68</f>
        <v/>
      </c>
      <c r="P71">
        <f>SUBSTITUTE(P68,"Sum of ","")</f>
        <v/>
      </c>
      <c r="Q71">
        <f>Q68</f>
        <v/>
      </c>
      <c r="T71">
        <f>SUBSTITUTE(T68,"Sum of ","")</f>
        <v/>
      </c>
      <c r="U71">
        <f>U68</f>
        <v/>
      </c>
      <c r="X71">
        <f>SUBSTITUTE(X68,"Sum of ","")</f>
        <v/>
      </c>
      <c r="Y71">
        <f>Y68</f>
        <v/>
      </c>
    </row>
    <row r="72" ht="20" customHeight="1">
      <c r="A72" s="4">
        <f>P70</f>
        <v/>
      </c>
      <c r="B72" s="6">
        <f>Q70</f>
        <v/>
      </c>
      <c r="C72" s="5">
        <f>O67</f>
        <v/>
      </c>
      <c r="D72" s="20" t="inlineStr">
        <is>
          <t>FTT</t>
        </is>
      </c>
      <c r="E72" s="21" t="inlineStr">
        <is>
          <t>JV</t>
        </is>
      </c>
      <c r="H72">
        <f>SUBSTITUTE(H69,"Sum of ","")</f>
        <v/>
      </c>
      <c r="I72">
        <f>I69</f>
        <v/>
      </c>
      <c r="L72">
        <f>SUBSTITUTE(L69,"Sum of ","")</f>
        <v/>
      </c>
      <c r="M72">
        <f>M69</f>
        <v/>
      </c>
      <c r="P72">
        <f>SUBSTITUTE(P69,"Sum of ","")</f>
        <v/>
      </c>
      <c r="Q72">
        <f>Q69</f>
        <v/>
      </c>
      <c r="T72">
        <f>SUBSTITUTE(T69,"Sum of ","")</f>
        <v/>
      </c>
      <c r="U72">
        <f>U69</f>
        <v/>
      </c>
      <c r="X72">
        <f>SUBSTITUTE(X69,"Sum of ","")</f>
        <v/>
      </c>
      <c r="Y72">
        <f>Y69</f>
        <v/>
      </c>
    </row>
    <row r="73" ht="20" customHeight="1">
      <c r="A73" s="8">
        <f>P71</f>
        <v/>
      </c>
      <c r="B73" s="10">
        <f>Q71</f>
        <v/>
      </c>
      <c r="C73" s="9">
        <f>O68</f>
        <v/>
      </c>
      <c r="D73" s="20" t="inlineStr">
        <is>
          <t>FTT</t>
        </is>
      </c>
      <c r="E73" s="22" t="inlineStr">
        <is>
          <t>JV</t>
        </is>
      </c>
    </row>
    <row r="74" ht="20" customHeight="1">
      <c r="A74" s="4">
        <f>P72</f>
        <v/>
      </c>
      <c r="B74" s="6">
        <f>Q72</f>
        <v/>
      </c>
      <c r="C74" s="5">
        <f>O69</f>
        <v/>
      </c>
      <c r="D74" s="20" t="inlineStr">
        <is>
          <t>FTT</t>
        </is>
      </c>
      <c r="E74" s="21" t="inlineStr">
        <is>
          <t>JV</t>
        </is>
      </c>
    </row>
    <row r="75" ht="20" customHeight="1">
      <c r="A75" s="8">
        <f>T70</f>
        <v/>
      </c>
      <c r="B75" s="10">
        <f>U70</f>
        <v/>
      </c>
      <c r="C75" s="9">
        <f>S67</f>
        <v/>
      </c>
      <c r="D75" s="20" t="inlineStr">
        <is>
          <t>FTT</t>
        </is>
      </c>
      <c r="E75" s="22" t="inlineStr">
        <is>
          <t>JV</t>
        </is>
      </c>
    </row>
    <row r="76" ht="20" customHeight="1">
      <c r="A76" s="4">
        <f>T71</f>
        <v/>
      </c>
      <c r="B76" s="6">
        <f>U71</f>
        <v/>
      </c>
      <c r="C76" s="5">
        <f>S68</f>
        <v/>
      </c>
      <c r="D76" s="20" t="inlineStr">
        <is>
          <t>FTT</t>
        </is>
      </c>
      <c r="E76" s="21" t="inlineStr">
        <is>
          <t>JV</t>
        </is>
      </c>
    </row>
    <row r="77" ht="20" customHeight="1">
      <c r="A77" s="8">
        <f>T72</f>
        <v/>
      </c>
      <c r="B77" s="10">
        <f>U72</f>
        <v/>
      </c>
      <c r="C77" s="9">
        <f>S69</f>
        <v/>
      </c>
      <c r="D77" s="20" t="inlineStr">
        <is>
          <t>FTT</t>
        </is>
      </c>
      <c r="E77" s="22" t="inlineStr">
        <is>
          <t>JV</t>
        </is>
      </c>
    </row>
    <row r="78" ht="20" customHeight="1">
      <c r="A78" s="4">
        <f>X70</f>
        <v/>
      </c>
      <c r="B78" s="6">
        <f>Y70</f>
        <v/>
      </c>
      <c r="C78" s="5">
        <f>W67</f>
        <v/>
      </c>
      <c r="D78" s="20" t="inlineStr">
        <is>
          <t>FTT</t>
        </is>
      </c>
      <c r="E78" s="21" t="inlineStr">
        <is>
          <t>JV</t>
        </is>
      </c>
    </row>
    <row r="79" ht="24" customHeight="1">
      <c r="A79" s="8">
        <f>X71</f>
        <v/>
      </c>
      <c r="B79" s="10">
        <f>Y71</f>
        <v/>
      </c>
      <c r="C79" s="9">
        <f>W68</f>
        <v/>
      </c>
      <c r="D79" s="20" t="inlineStr">
        <is>
          <t>FTT</t>
        </is>
      </c>
      <c r="E79" s="22" t="inlineStr">
        <is>
          <t>JV</t>
        </is>
      </c>
      <c r="G79" s="2" t="inlineStr">
        <is>
          <t>FACTORY JV — RE-INSPECTION (INITIAL AUDIT - QC)</t>
        </is>
      </c>
    </row>
    <row r="80" ht="20" customHeight="1">
      <c r="A80" s="4">
        <f>X72</f>
        <v/>
      </c>
      <c r="B80" s="6">
        <f>Y72</f>
        <v/>
      </c>
      <c r="C80" s="5">
        <f>W69</f>
        <v/>
      </c>
      <c r="D80" s="20" t="inlineStr">
        <is>
          <t>FTT</t>
        </is>
      </c>
      <c r="E80" s="21" t="inlineStr">
        <is>
          <t>JV</t>
        </is>
      </c>
    </row>
    <row r="81" ht="20" customHeight="1">
      <c r="A81" s="8">
        <f>H85</f>
        <v/>
      </c>
      <c r="B81" s="10">
        <f>I85</f>
        <v/>
      </c>
      <c r="C81" s="9">
        <f>C66</f>
        <v/>
      </c>
      <c r="D81" s="23" t="inlineStr">
        <is>
          <t>Re-ins</t>
        </is>
      </c>
      <c r="E81" s="22" t="inlineStr">
        <is>
          <t>JV</t>
        </is>
      </c>
      <c r="G81" s="3" t="inlineStr">
        <is>
          <t>Model Name</t>
        </is>
      </c>
      <c r="H81" s="3" t="inlineStr">
        <is>
          <t>Defect Issue</t>
        </is>
      </c>
      <c r="I81" s="3" t="inlineStr">
        <is>
          <t>Defect Qty</t>
        </is>
      </c>
      <c r="K81" s="3" t="inlineStr">
        <is>
          <t>Model Name</t>
        </is>
      </c>
      <c r="L81" s="3" t="inlineStr">
        <is>
          <t>Defect Issue</t>
        </is>
      </c>
      <c r="M81" s="3" t="inlineStr">
        <is>
          <t>Defect Qty</t>
        </is>
      </c>
      <c r="O81" s="3" t="inlineStr">
        <is>
          <t>Model Name</t>
        </is>
      </c>
      <c r="P81" s="3" t="inlineStr">
        <is>
          <t>Defect Issue</t>
        </is>
      </c>
      <c r="Q81" s="3" t="inlineStr">
        <is>
          <t>Defect Qty</t>
        </is>
      </c>
      <c r="S81" s="3" t="inlineStr">
        <is>
          <t>Model Name</t>
        </is>
      </c>
      <c r="T81" s="3" t="inlineStr">
        <is>
          <t>Defect Issue</t>
        </is>
      </c>
      <c r="U81" s="3" t="inlineStr">
        <is>
          <t>Defect Qty</t>
        </is>
      </c>
      <c r="W81" s="3" t="inlineStr">
        <is>
          <t>Model Name</t>
        </is>
      </c>
      <c r="X81" s="3" t="inlineStr">
        <is>
          <t>Defect Issue</t>
        </is>
      </c>
      <c r="Y81" s="3" t="inlineStr">
        <is>
          <t>Defect Qty</t>
        </is>
      </c>
    </row>
    <row r="82" ht="20" customHeight="1">
      <c r="A82" s="4">
        <f>H86</f>
        <v/>
      </c>
      <c r="B82" s="6">
        <f>I86</f>
        <v/>
      </c>
      <c r="C82" s="5">
        <f>C67</f>
        <v/>
      </c>
      <c r="D82" s="23" t="inlineStr">
        <is>
          <t>Re-ins</t>
        </is>
      </c>
      <c r="E82" s="21" t="inlineStr">
        <is>
          <t>JV</t>
        </is>
      </c>
      <c r="G82" s="4" t="inlineStr">
        <is>
          <t>NIKE AIR MAX MOTION 2 (MS/WS)</t>
        </is>
      </c>
      <c r="H82" s="5" t="inlineStr">
        <is>
          <t>Sum of Thread end</t>
        </is>
      </c>
      <c r="I82" s="6" t="n">
        <v>42</v>
      </c>
      <c r="K82" s="4" t="inlineStr">
        <is>
          <t>NIKE AIR MAX SC (MS/WS)</t>
        </is>
      </c>
      <c r="L82" s="5" t="inlineStr">
        <is>
          <t>Sum of Midsole/Outsole to upper bond gap</t>
        </is>
      </c>
      <c r="M82" s="6" t="n">
        <v>28</v>
      </c>
      <c r="O82" s="4" t="inlineStr">
        <is>
          <t>NIKE COURT BOROUGH MID (PSV)</t>
        </is>
      </c>
      <c r="P82" s="5" t="inlineStr">
        <is>
          <t>Sum of Over cement</t>
        </is>
      </c>
      <c r="Q82" s="6" t="n">
        <v>38</v>
      </c>
      <c r="S82" s="4" t="inlineStr">
        <is>
          <t>NIKE EBERNON LOW (MS/WS)</t>
        </is>
      </c>
      <c r="T82" s="5" t="inlineStr">
        <is>
          <t>Sum of Midsole/Outsole to upper bond gap</t>
        </is>
      </c>
      <c r="U82" s="6" t="n">
        <v>171</v>
      </c>
      <c r="W82" s="4" t="inlineStr">
        <is>
          <t>NIKE INITIATOR (MS/WS)</t>
        </is>
      </c>
      <c r="X82" s="5" t="inlineStr">
        <is>
          <t>Sum of Midsole/Outsole to upper bond gap</t>
        </is>
      </c>
      <c r="Y82" s="6" t="n">
        <v>46</v>
      </c>
    </row>
    <row r="83" ht="20" customHeight="1">
      <c r="A83" s="8">
        <f>H87</f>
        <v/>
      </c>
      <c r="B83" s="10">
        <f>I87</f>
        <v/>
      </c>
      <c r="C83" s="9">
        <f>C68</f>
        <v/>
      </c>
      <c r="D83" s="23" t="inlineStr">
        <is>
          <t>Re-ins</t>
        </is>
      </c>
      <c r="E83" s="22" t="inlineStr">
        <is>
          <t>JV</t>
        </is>
      </c>
      <c r="G83" s="4" t="inlineStr">
        <is>
          <t>NIKE AIR MAX MOTION 2 (MS/WS)</t>
        </is>
      </c>
      <c r="H83" s="5" t="inlineStr">
        <is>
          <t>Sum of Paint peeled off</t>
        </is>
      </c>
      <c r="I83" s="6" t="n">
        <v>32</v>
      </c>
      <c r="K83" s="4" t="inlineStr">
        <is>
          <t>NIKE AIR MAX SC (MS/WS)</t>
        </is>
      </c>
      <c r="L83" s="5" t="inlineStr">
        <is>
          <t>Sum of Cleanness</t>
        </is>
      </c>
      <c r="M83" s="6" t="n">
        <v>27</v>
      </c>
      <c r="O83" s="4" t="inlineStr">
        <is>
          <t>NIKE COURT BOROUGH MID (PSV)</t>
        </is>
      </c>
      <c r="P83" s="5" t="inlineStr">
        <is>
          <t>Sum of Midsole/Outsole to upper bond gap</t>
        </is>
      </c>
      <c r="Q83" s="6" t="n">
        <v>28</v>
      </c>
      <c r="S83" s="4" t="inlineStr">
        <is>
          <t>NIKE EBERNON LOW (MS/WS)</t>
        </is>
      </c>
      <c r="T83" s="5" t="inlineStr">
        <is>
          <t>Sum of Over cement</t>
        </is>
      </c>
      <c r="U83" s="6" t="n">
        <v>158</v>
      </c>
      <c r="W83" s="4" t="inlineStr">
        <is>
          <t>NIKE INITIATOR (MS/WS)</t>
        </is>
      </c>
      <c r="X83" s="5" t="inlineStr">
        <is>
          <t>Sum of Cleanness</t>
        </is>
      </c>
      <c r="Y83" s="6" t="n">
        <v>25</v>
      </c>
    </row>
    <row r="84" ht="20" customHeight="1">
      <c r="A84" s="4">
        <f>L85</f>
        <v/>
      </c>
      <c r="B84" s="6">
        <f>M85</f>
        <v/>
      </c>
      <c r="C84" s="5">
        <f>C69</f>
        <v/>
      </c>
      <c r="D84" s="23" t="inlineStr">
        <is>
          <t>Re-ins</t>
        </is>
      </c>
      <c r="E84" s="21" t="inlineStr">
        <is>
          <t>JV</t>
        </is>
      </c>
      <c r="G84" s="4" t="inlineStr">
        <is>
          <t>NIKE AIR MAX MOTION 2 (MS/WS)</t>
        </is>
      </c>
      <c r="H84" s="5" t="inlineStr">
        <is>
          <t>Sum of Bottom Cosmetic</t>
        </is>
      </c>
      <c r="I84" s="6" t="n">
        <v>30</v>
      </c>
      <c r="K84" s="4" t="inlineStr">
        <is>
          <t>NIKE AIR MAX SC (MS/WS)</t>
        </is>
      </c>
      <c r="L84" s="5" t="inlineStr">
        <is>
          <t>Sum of Over cement</t>
        </is>
      </c>
      <c r="M84" s="6" t="n">
        <v>26</v>
      </c>
      <c r="O84" s="4" t="inlineStr">
        <is>
          <t>NIKE COURT BOROUGH MID (PSV)</t>
        </is>
      </c>
      <c r="P84" s="5" t="inlineStr">
        <is>
          <t>Sum of Cleanness</t>
        </is>
      </c>
      <c r="Q84" s="6" t="n">
        <v>17</v>
      </c>
      <c r="S84" s="4" t="inlineStr">
        <is>
          <t>NIKE EBERNON LOW (MS/WS)</t>
        </is>
      </c>
      <c r="T84" s="5" t="inlineStr">
        <is>
          <t>Sum of Cleanness</t>
        </is>
      </c>
      <c r="U84" s="6" t="n">
        <v>152</v>
      </c>
      <c r="W84" s="4" t="inlineStr">
        <is>
          <t>NIKE INITIATOR (MS/WS)</t>
        </is>
      </c>
      <c r="X84" s="5" t="inlineStr">
        <is>
          <t>Sum of Over cement</t>
        </is>
      </c>
      <c r="Y84" s="6" t="n">
        <v>24</v>
      </c>
    </row>
    <row r="85" ht="20" customHeight="1">
      <c r="A85" s="8">
        <f>L86</f>
        <v/>
      </c>
      <c r="B85" s="10">
        <f>M86</f>
        <v/>
      </c>
      <c r="C85" s="9">
        <f>C70</f>
        <v/>
      </c>
      <c r="D85" s="23" t="inlineStr">
        <is>
          <t>Re-ins</t>
        </is>
      </c>
      <c r="E85" s="22" t="inlineStr">
        <is>
          <t>JV</t>
        </is>
      </c>
      <c r="H85">
        <f>SUBSTITUTE(H82,"Sum of ","")</f>
        <v/>
      </c>
      <c r="I85">
        <f>I82</f>
        <v/>
      </c>
      <c r="L85">
        <f>SUBSTITUTE(L82,"Sum of ","")</f>
        <v/>
      </c>
      <c r="M85">
        <f>M82</f>
        <v/>
      </c>
      <c r="P85">
        <f>SUBSTITUTE(P82,"Sum of ","")</f>
        <v/>
      </c>
      <c r="Q85">
        <f>Q82</f>
        <v/>
      </c>
      <c r="T85">
        <f>SUBSTITUTE(T82,"Sum of ","")</f>
        <v/>
      </c>
      <c r="U85">
        <f>U82</f>
        <v/>
      </c>
      <c r="X85">
        <f>SUBSTITUTE(X82,"Sum of ","")</f>
        <v/>
      </c>
      <c r="Y85">
        <f>Y82</f>
        <v/>
      </c>
    </row>
    <row r="86" ht="20" customHeight="1">
      <c r="A86" s="4">
        <f>L87</f>
        <v/>
      </c>
      <c r="B86" s="6">
        <f>M87</f>
        <v/>
      </c>
      <c r="C86" s="5">
        <f>C71</f>
        <v/>
      </c>
      <c r="D86" s="23" t="inlineStr">
        <is>
          <t>Re-ins</t>
        </is>
      </c>
      <c r="E86" s="21" t="inlineStr">
        <is>
          <t>JV</t>
        </is>
      </c>
      <c r="H86">
        <f>SUBSTITUTE(H83,"Sum of ","")</f>
        <v/>
      </c>
      <c r="I86">
        <f>I83</f>
        <v/>
      </c>
      <c r="L86">
        <f>SUBSTITUTE(L83,"Sum of ","")</f>
        <v/>
      </c>
      <c r="M86">
        <f>M83</f>
        <v/>
      </c>
      <c r="P86">
        <f>SUBSTITUTE(P83,"Sum of ","")</f>
        <v/>
      </c>
      <c r="Q86">
        <f>Q83</f>
        <v/>
      </c>
      <c r="T86">
        <f>SUBSTITUTE(T83,"Sum of ","")</f>
        <v/>
      </c>
      <c r="U86">
        <f>U83</f>
        <v/>
      </c>
      <c r="X86">
        <f>SUBSTITUTE(X83,"Sum of ","")</f>
        <v/>
      </c>
      <c r="Y86">
        <f>Y83</f>
        <v/>
      </c>
    </row>
    <row r="87" ht="20" customHeight="1">
      <c r="A87" s="8">
        <f>P85</f>
        <v/>
      </c>
      <c r="B87" s="10">
        <f>Q85</f>
        <v/>
      </c>
      <c r="C87" s="9">
        <f>C72</f>
        <v/>
      </c>
      <c r="D87" s="23" t="inlineStr">
        <is>
          <t>Re-ins</t>
        </is>
      </c>
      <c r="E87" s="22" t="inlineStr">
        <is>
          <t>JV</t>
        </is>
      </c>
      <c r="H87">
        <f>SUBSTITUTE(H84,"Sum of ","")</f>
        <v/>
      </c>
      <c r="I87">
        <f>I84</f>
        <v/>
      </c>
      <c r="L87">
        <f>SUBSTITUTE(L84,"Sum of ","")</f>
        <v/>
      </c>
      <c r="M87">
        <f>M84</f>
        <v/>
      </c>
      <c r="P87">
        <f>SUBSTITUTE(P84,"Sum of ","")</f>
        <v/>
      </c>
      <c r="Q87">
        <f>Q84</f>
        <v/>
      </c>
      <c r="T87">
        <f>SUBSTITUTE(T84,"Sum of ","")</f>
        <v/>
      </c>
      <c r="U87">
        <f>U84</f>
        <v/>
      </c>
      <c r="X87">
        <f>SUBSTITUTE(X84,"Sum of ","")</f>
        <v/>
      </c>
      <c r="Y87">
        <f>Y84</f>
        <v/>
      </c>
    </row>
    <row r="88" ht="20" customHeight="1">
      <c r="A88" s="4">
        <f>P86</f>
        <v/>
      </c>
      <c r="B88" s="6">
        <f>Q86</f>
        <v/>
      </c>
      <c r="C88" s="5">
        <f>C73</f>
        <v/>
      </c>
      <c r="D88" s="23" t="inlineStr">
        <is>
          <t>Re-ins</t>
        </is>
      </c>
      <c r="E88" s="21" t="inlineStr">
        <is>
          <t>JV</t>
        </is>
      </c>
    </row>
    <row r="89" ht="20" customHeight="1">
      <c r="A89" s="8">
        <f>P87</f>
        <v/>
      </c>
      <c r="B89" s="10">
        <f>Q87</f>
        <v/>
      </c>
      <c r="C89" s="9">
        <f>C74</f>
        <v/>
      </c>
      <c r="D89" s="23" t="inlineStr">
        <is>
          <t>Re-ins</t>
        </is>
      </c>
      <c r="E89" s="22" t="inlineStr">
        <is>
          <t>JV</t>
        </is>
      </c>
    </row>
    <row r="90" ht="20" customHeight="1">
      <c r="A90" s="4">
        <f>T85</f>
        <v/>
      </c>
      <c r="B90" s="6">
        <f>U85</f>
        <v/>
      </c>
      <c r="C90" s="5">
        <f>C75</f>
        <v/>
      </c>
      <c r="D90" s="23" t="inlineStr">
        <is>
          <t>Re-ins</t>
        </is>
      </c>
      <c r="E90" s="21" t="inlineStr">
        <is>
          <t>JV</t>
        </is>
      </c>
    </row>
    <row r="91" ht="20" customHeight="1">
      <c r="A91" s="8">
        <f>T86</f>
        <v/>
      </c>
      <c r="B91" s="10">
        <f>U86</f>
        <v/>
      </c>
      <c r="C91" s="9">
        <f>C76</f>
        <v/>
      </c>
      <c r="D91" s="23" t="inlineStr">
        <is>
          <t>Re-ins</t>
        </is>
      </c>
      <c r="E91" s="22" t="inlineStr">
        <is>
          <t>JV</t>
        </is>
      </c>
    </row>
    <row r="92" ht="20" customHeight="1">
      <c r="A92" s="4">
        <f>T87</f>
        <v/>
      </c>
      <c r="B92" s="6">
        <f>U87</f>
        <v/>
      </c>
      <c r="C92" s="5">
        <f>C77</f>
        <v/>
      </c>
      <c r="D92" s="23" t="inlineStr">
        <is>
          <t>Re-ins</t>
        </is>
      </c>
      <c r="E92" s="21" t="inlineStr">
        <is>
          <t>JV</t>
        </is>
      </c>
    </row>
    <row r="93" ht="20" customHeight="1">
      <c r="A93" s="8">
        <f>X85</f>
        <v/>
      </c>
      <c r="B93" s="10">
        <f>Y85</f>
        <v/>
      </c>
      <c r="C93" s="9">
        <f>C78</f>
        <v/>
      </c>
      <c r="D93" s="23" t="inlineStr">
        <is>
          <t>Re-ins</t>
        </is>
      </c>
      <c r="E93" s="22" t="inlineStr">
        <is>
          <t>JV</t>
        </is>
      </c>
    </row>
    <row r="94" ht="24" customHeight="1">
      <c r="A94" s="4">
        <f>X86</f>
        <v/>
      </c>
      <c r="B94" s="6">
        <f>Y86</f>
        <v/>
      </c>
      <c r="C94" s="5">
        <f>C79</f>
        <v/>
      </c>
      <c r="D94" s="23" t="inlineStr">
        <is>
          <t>Re-ins</t>
        </is>
      </c>
      <c r="E94" s="21" t="inlineStr">
        <is>
          <t>JV</t>
        </is>
      </c>
      <c r="G94" s="2" t="inlineStr">
        <is>
          <t>FACTORY JV2 — FTT TOP DEFECTS PER MODEL</t>
        </is>
      </c>
    </row>
    <row r="95" ht="20" customHeight="1">
      <c r="A95" s="8">
        <f>X87</f>
        <v/>
      </c>
      <c r="B95" s="10">
        <f>Y87</f>
        <v/>
      </c>
      <c r="C95" s="9">
        <f>C80</f>
        <v/>
      </c>
      <c r="D95" s="23" t="inlineStr">
        <is>
          <t>Re-ins</t>
        </is>
      </c>
      <c r="E95" s="22" t="inlineStr">
        <is>
          <t>JV</t>
        </is>
      </c>
    </row>
    <row r="96" ht="20" customHeight="1">
      <c r="A96" s="4">
        <f>H100</f>
        <v/>
      </c>
      <c r="B96" s="6">
        <f>I100</f>
        <v/>
      </c>
      <c r="C96" s="5">
        <f>G97</f>
        <v/>
      </c>
      <c r="D96" s="20" t="inlineStr">
        <is>
          <t>FTT</t>
        </is>
      </c>
      <c r="E96" s="21" t="inlineStr">
        <is>
          <t>JV2</t>
        </is>
      </c>
      <c r="G96" s="3" t="inlineStr">
        <is>
          <t>Model Name</t>
        </is>
      </c>
      <c r="H96" s="3" t="inlineStr">
        <is>
          <t>Defect Issue</t>
        </is>
      </c>
      <c r="I96" s="3" t="inlineStr">
        <is>
          <t>Total Qty</t>
        </is>
      </c>
      <c r="K96" s="3" t="inlineStr">
        <is>
          <t>Model Name</t>
        </is>
      </c>
      <c r="L96" s="3" t="inlineStr">
        <is>
          <t>Defect Issue</t>
        </is>
      </c>
      <c r="M96" s="3" t="inlineStr">
        <is>
          <t>Total Qty</t>
        </is>
      </c>
      <c r="O96" s="3" t="inlineStr">
        <is>
          <t>Model Name</t>
        </is>
      </c>
      <c r="P96" s="3" t="inlineStr">
        <is>
          <t>Defect Issue</t>
        </is>
      </c>
      <c r="Q96" s="3" t="inlineStr">
        <is>
          <t>Total Qty</t>
        </is>
      </c>
      <c r="S96" s="3" t="inlineStr">
        <is>
          <t>Model Name</t>
        </is>
      </c>
      <c r="T96" s="3" t="inlineStr">
        <is>
          <t>Defect Issue</t>
        </is>
      </c>
      <c r="U96" s="3" t="inlineStr">
        <is>
          <t>Total Qty</t>
        </is>
      </c>
      <c r="W96" s="3" t="inlineStr">
        <is>
          <t>Model Name</t>
        </is>
      </c>
      <c r="X96" s="3" t="inlineStr">
        <is>
          <t>Defect Issue</t>
        </is>
      </c>
      <c r="Y96" s="3" t="inlineStr">
        <is>
          <t>Total Qty</t>
        </is>
      </c>
    </row>
    <row r="97" ht="20" customHeight="1">
      <c r="A97" s="8">
        <f>H101</f>
        <v/>
      </c>
      <c r="B97" s="10">
        <f>I101</f>
        <v/>
      </c>
      <c r="C97" s="9">
        <f>G98</f>
        <v/>
      </c>
      <c r="D97" s="20" t="inlineStr">
        <is>
          <t>FTT</t>
        </is>
      </c>
      <c r="E97" s="22" t="inlineStr">
        <is>
          <t>JV2</t>
        </is>
      </c>
      <c r="G97" s="4" t="inlineStr">
        <is>
          <t>AIR JORDAN 1 MID SE (GS)</t>
        </is>
      </c>
      <c r="H97" s="5" t="inlineStr">
        <is>
          <t>Cleanness</t>
        </is>
      </c>
      <c r="I97" s="6" t="n">
        <v>1387</v>
      </c>
      <c r="K97" s="4" t="inlineStr">
        <is>
          <t>JORDAN 1 LOW ALT (PS)</t>
        </is>
      </c>
      <c r="L97" s="5" t="inlineStr">
        <is>
          <t>Over cement</t>
        </is>
      </c>
      <c r="M97" s="6" t="n">
        <v>1318</v>
      </c>
      <c r="O97" s="4" t="inlineStr">
        <is>
          <t>JORDAN 1 MID SE (PS/TD)</t>
        </is>
      </c>
      <c r="P97" s="5" t="inlineStr">
        <is>
          <t>Midsole/Outsole to upper bond gap</t>
        </is>
      </c>
      <c r="Q97" s="6" t="n">
        <v>1531</v>
      </c>
      <c r="S97" s="4" t="inlineStr">
        <is>
          <t>NIKE COURT VISION LOW (MS/WS)</t>
        </is>
      </c>
      <c r="T97" s="5" t="inlineStr">
        <is>
          <t>Over cement</t>
        </is>
      </c>
      <c r="U97" s="6" t="n">
        <v>3012</v>
      </c>
      <c r="W97" s="4" t="inlineStr">
        <is>
          <t>NIKE INITIATOR (MS/WS)</t>
        </is>
      </c>
      <c r="X97" s="5" t="inlineStr">
        <is>
          <t>Midsole/Outsole to upper bond gap</t>
        </is>
      </c>
      <c r="Y97" s="6" t="n">
        <v>1536</v>
      </c>
    </row>
    <row r="98" ht="20" customHeight="1">
      <c r="A98" s="4">
        <f>H102</f>
        <v/>
      </c>
      <c r="B98" s="6">
        <f>I102</f>
        <v/>
      </c>
      <c r="C98" s="5">
        <f>G99</f>
        <v/>
      </c>
      <c r="D98" s="20" t="inlineStr">
        <is>
          <t>FTT</t>
        </is>
      </c>
      <c r="E98" s="21" t="inlineStr">
        <is>
          <t>JV2</t>
        </is>
      </c>
      <c r="G98" s="4" t="inlineStr">
        <is>
          <t>AIR JORDAN 1 MID SE (GS)</t>
        </is>
      </c>
      <c r="H98" s="5" t="inlineStr">
        <is>
          <t>Over cement</t>
        </is>
      </c>
      <c r="I98" s="6" t="n">
        <v>1302</v>
      </c>
      <c r="K98" s="4" t="inlineStr">
        <is>
          <t>JORDAN 1 LOW ALT (PS)</t>
        </is>
      </c>
      <c r="L98" s="5" t="inlineStr">
        <is>
          <t>Midsole/Outsole to upper bond gap</t>
        </is>
      </c>
      <c r="M98" s="6" t="n">
        <v>1252</v>
      </c>
      <c r="O98" s="4" t="inlineStr">
        <is>
          <t>JORDAN 1 MID SE (PS/TD)</t>
        </is>
      </c>
      <c r="P98" s="5" t="inlineStr">
        <is>
          <t>Cleanness</t>
        </is>
      </c>
      <c r="Q98" s="6" t="n">
        <v>1494</v>
      </c>
      <c r="S98" s="4" t="inlineStr">
        <is>
          <t>NIKE COURT VISION LOW (MS/WS)</t>
        </is>
      </c>
      <c r="T98" s="5" t="inlineStr">
        <is>
          <t>Cleanness</t>
        </is>
      </c>
      <c r="U98" s="6" t="n">
        <v>2701</v>
      </c>
      <c r="W98" s="4" t="inlineStr">
        <is>
          <t>NIKE INITIATOR (MS/WS)</t>
        </is>
      </c>
      <c r="X98" s="5" t="inlineStr">
        <is>
          <t>Cleanness</t>
        </is>
      </c>
      <c r="Y98" s="6" t="n">
        <v>1530</v>
      </c>
    </row>
    <row r="99" ht="20" customHeight="1">
      <c r="A99" s="8">
        <f>L100</f>
        <v/>
      </c>
      <c r="B99" s="10">
        <f>M100</f>
        <v/>
      </c>
      <c r="C99" s="9">
        <f>K97</f>
        <v/>
      </c>
      <c r="D99" s="20" t="inlineStr">
        <is>
          <t>FTT</t>
        </is>
      </c>
      <c r="E99" s="22" t="inlineStr">
        <is>
          <t>JV2</t>
        </is>
      </c>
      <c r="G99" s="4" t="inlineStr">
        <is>
          <t>AIR JORDAN 1 MID SE (GS)</t>
        </is>
      </c>
      <c r="H99" s="5" t="inlineStr">
        <is>
          <t>Midsole/Outsole to upper bond gap</t>
        </is>
      </c>
      <c r="I99" s="6" t="n">
        <v>1198</v>
      </c>
      <c r="K99" s="4" t="inlineStr">
        <is>
          <t>JORDAN 1 LOW ALT (PS)</t>
        </is>
      </c>
      <c r="L99" s="5" t="inlineStr">
        <is>
          <t>Thread end</t>
        </is>
      </c>
      <c r="M99" s="6" t="n">
        <v>1020</v>
      </c>
      <c r="O99" s="4" t="inlineStr">
        <is>
          <t>JORDAN 1 MID SE (PS/TD)</t>
        </is>
      </c>
      <c r="P99" s="5" t="inlineStr">
        <is>
          <t>Over cement</t>
        </is>
      </c>
      <c r="Q99" s="6" t="n">
        <v>1417</v>
      </c>
      <c r="S99" s="4" t="inlineStr">
        <is>
          <t>NIKE COURT VISION LOW (MS/WS)</t>
        </is>
      </c>
      <c r="T99" s="5" t="inlineStr">
        <is>
          <t>Thread end</t>
        </is>
      </c>
      <c r="U99" s="6" t="n">
        <v>2645</v>
      </c>
      <c r="W99" s="4" t="inlineStr">
        <is>
          <t>NIKE INITIATOR (MS/WS)</t>
        </is>
      </c>
      <c r="X99" s="5" t="inlineStr">
        <is>
          <t>Over cement</t>
        </is>
      </c>
      <c r="Y99" s="6" t="n">
        <v>1388</v>
      </c>
    </row>
    <row r="100" ht="20" customHeight="1">
      <c r="A100" s="4">
        <f>L101</f>
        <v/>
      </c>
      <c r="B100" s="6">
        <f>M101</f>
        <v/>
      </c>
      <c r="C100" s="5">
        <f>K98</f>
        <v/>
      </c>
      <c r="D100" s="20" t="inlineStr">
        <is>
          <t>FTT</t>
        </is>
      </c>
      <c r="E100" s="21" t="inlineStr">
        <is>
          <t>JV2</t>
        </is>
      </c>
      <c r="H100">
        <f>SUBSTITUTE(H97,"Sum of ","")</f>
        <v/>
      </c>
      <c r="I100">
        <f>I97</f>
        <v/>
      </c>
      <c r="L100">
        <f>SUBSTITUTE(L97,"Sum of ","")</f>
        <v/>
      </c>
      <c r="M100">
        <f>M97</f>
        <v/>
      </c>
      <c r="P100">
        <f>SUBSTITUTE(P97,"Sum of ","")</f>
        <v/>
      </c>
      <c r="Q100">
        <f>Q97</f>
        <v/>
      </c>
      <c r="T100">
        <f>SUBSTITUTE(T97,"Sum of ","")</f>
        <v/>
      </c>
      <c r="U100">
        <f>U97</f>
        <v/>
      </c>
      <c r="X100">
        <f>SUBSTITUTE(X97,"Sum of ","")</f>
        <v/>
      </c>
      <c r="Y100">
        <f>Y97</f>
        <v/>
      </c>
    </row>
    <row r="101" ht="20" customHeight="1">
      <c r="A101" s="8">
        <f>L102</f>
        <v/>
      </c>
      <c r="B101" s="10">
        <f>M102</f>
        <v/>
      </c>
      <c r="C101" s="9">
        <f>K99</f>
        <v/>
      </c>
      <c r="D101" s="20" t="inlineStr">
        <is>
          <t>FTT</t>
        </is>
      </c>
      <c r="E101" s="22" t="inlineStr">
        <is>
          <t>JV2</t>
        </is>
      </c>
      <c r="H101">
        <f>SUBSTITUTE(H98,"Sum of ","")</f>
        <v/>
      </c>
      <c r="I101">
        <f>I98</f>
        <v/>
      </c>
      <c r="L101">
        <f>SUBSTITUTE(L98,"Sum of ","")</f>
        <v/>
      </c>
      <c r="M101">
        <f>M98</f>
        <v/>
      </c>
      <c r="P101">
        <f>SUBSTITUTE(P98,"Sum of ","")</f>
        <v/>
      </c>
      <c r="Q101">
        <f>Q98</f>
        <v/>
      </c>
      <c r="T101">
        <f>SUBSTITUTE(T98,"Sum of ","")</f>
        <v/>
      </c>
      <c r="U101">
        <f>U98</f>
        <v/>
      </c>
      <c r="X101">
        <f>SUBSTITUTE(X98,"Sum of ","")</f>
        <v/>
      </c>
      <c r="Y101">
        <f>Y98</f>
        <v/>
      </c>
    </row>
    <row r="102" ht="20" customHeight="1">
      <c r="A102" s="4">
        <f>P100</f>
        <v/>
      </c>
      <c r="B102" s="6">
        <f>Q100</f>
        <v/>
      </c>
      <c r="C102" s="5">
        <f>O97</f>
        <v/>
      </c>
      <c r="D102" s="20" t="inlineStr">
        <is>
          <t>FTT</t>
        </is>
      </c>
      <c r="E102" s="21" t="inlineStr">
        <is>
          <t>JV2</t>
        </is>
      </c>
      <c r="H102">
        <f>SUBSTITUTE(H99,"Sum of ","")</f>
        <v/>
      </c>
      <c r="I102">
        <f>I99</f>
        <v/>
      </c>
      <c r="L102">
        <f>SUBSTITUTE(L99,"Sum of ","")</f>
        <v/>
      </c>
      <c r="M102">
        <f>M99</f>
        <v/>
      </c>
      <c r="P102">
        <f>SUBSTITUTE(P99,"Sum of ","")</f>
        <v/>
      </c>
      <c r="Q102">
        <f>Q99</f>
        <v/>
      </c>
      <c r="T102">
        <f>SUBSTITUTE(T99,"Sum of ","")</f>
        <v/>
      </c>
      <c r="U102">
        <f>U99</f>
        <v/>
      </c>
      <c r="X102">
        <f>SUBSTITUTE(X99,"Sum of ","")</f>
        <v/>
      </c>
      <c r="Y102">
        <f>Y99</f>
        <v/>
      </c>
    </row>
    <row r="103" ht="20" customHeight="1">
      <c r="A103" s="8">
        <f>P101</f>
        <v/>
      </c>
      <c r="B103" s="10">
        <f>Q101</f>
        <v/>
      </c>
      <c r="C103" s="9">
        <f>O98</f>
        <v/>
      </c>
      <c r="D103" s="20" t="inlineStr">
        <is>
          <t>FTT</t>
        </is>
      </c>
      <c r="E103" s="22" t="inlineStr">
        <is>
          <t>JV2</t>
        </is>
      </c>
    </row>
    <row r="104" ht="20" customHeight="1">
      <c r="A104" s="4">
        <f>P102</f>
        <v/>
      </c>
      <c r="B104" s="6">
        <f>Q102</f>
        <v/>
      </c>
      <c r="C104" s="5">
        <f>O99</f>
        <v/>
      </c>
      <c r="D104" s="20" t="inlineStr">
        <is>
          <t>FTT</t>
        </is>
      </c>
      <c r="E104" s="21" t="inlineStr">
        <is>
          <t>JV2</t>
        </is>
      </c>
    </row>
    <row r="105" ht="20" customHeight="1">
      <c r="A105" s="8">
        <f>T100</f>
        <v/>
      </c>
      <c r="B105" s="10">
        <f>U100</f>
        <v/>
      </c>
      <c r="C105" s="9">
        <f>S97</f>
        <v/>
      </c>
      <c r="D105" s="20" t="inlineStr">
        <is>
          <t>FTT</t>
        </is>
      </c>
      <c r="E105" s="22" t="inlineStr">
        <is>
          <t>JV2</t>
        </is>
      </c>
    </row>
    <row r="106" ht="20" customHeight="1">
      <c r="A106" s="4">
        <f>T101</f>
        <v/>
      </c>
      <c r="B106" s="6">
        <f>U101</f>
        <v/>
      </c>
      <c r="C106" s="5">
        <f>S98</f>
        <v/>
      </c>
      <c r="D106" s="20" t="inlineStr">
        <is>
          <t>FTT</t>
        </is>
      </c>
      <c r="E106" s="21" t="inlineStr">
        <is>
          <t>JV2</t>
        </is>
      </c>
    </row>
    <row r="107" ht="20" customHeight="1">
      <c r="A107" s="8">
        <f>T102</f>
        <v/>
      </c>
      <c r="B107" s="10">
        <f>U102</f>
        <v/>
      </c>
      <c r="C107" s="9">
        <f>S99</f>
        <v/>
      </c>
      <c r="D107" s="20" t="inlineStr">
        <is>
          <t>FTT</t>
        </is>
      </c>
      <c r="E107" s="22" t="inlineStr">
        <is>
          <t>JV2</t>
        </is>
      </c>
    </row>
    <row r="108" ht="20" customHeight="1">
      <c r="A108" s="4">
        <f>X100</f>
        <v/>
      </c>
      <c r="B108" s="6">
        <f>Y100</f>
        <v/>
      </c>
      <c r="C108" s="5">
        <f>W97</f>
        <v/>
      </c>
      <c r="D108" s="20" t="inlineStr">
        <is>
          <t>FTT</t>
        </is>
      </c>
      <c r="E108" s="21" t="inlineStr">
        <is>
          <t>JV2</t>
        </is>
      </c>
    </row>
    <row r="109" ht="24" customHeight="1">
      <c r="A109" s="8">
        <f>X101</f>
        <v/>
      </c>
      <c r="B109" s="10">
        <f>Y101</f>
        <v/>
      </c>
      <c r="C109" s="9">
        <f>W98</f>
        <v/>
      </c>
      <c r="D109" s="20" t="inlineStr">
        <is>
          <t>FTT</t>
        </is>
      </c>
      <c r="E109" s="22" t="inlineStr">
        <is>
          <t>JV2</t>
        </is>
      </c>
      <c r="G109" s="2" t="inlineStr">
        <is>
          <t>FACTORY JV2 — RE-INSPECTION (INITIAL AUDIT - QC)</t>
        </is>
      </c>
    </row>
    <row r="110" ht="20" customHeight="1">
      <c r="A110" s="4">
        <f>X102</f>
        <v/>
      </c>
      <c r="B110" s="6">
        <f>Y102</f>
        <v/>
      </c>
      <c r="C110" s="5">
        <f>W99</f>
        <v/>
      </c>
      <c r="D110" s="20" t="inlineStr">
        <is>
          <t>FTT</t>
        </is>
      </c>
      <c r="E110" s="21" t="inlineStr">
        <is>
          <t>JV2</t>
        </is>
      </c>
    </row>
    <row r="111" ht="20" customHeight="1">
      <c r="A111" s="8">
        <f>H115</f>
        <v/>
      </c>
      <c r="B111" s="10">
        <f>I115</f>
        <v/>
      </c>
      <c r="C111" s="9">
        <f>C96</f>
        <v/>
      </c>
      <c r="D111" s="23" t="inlineStr">
        <is>
          <t>Re-ins</t>
        </is>
      </c>
      <c r="E111" s="22" t="inlineStr">
        <is>
          <t>JV2</t>
        </is>
      </c>
      <c r="G111" s="3" t="inlineStr">
        <is>
          <t>Model Name</t>
        </is>
      </c>
      <c r="H111" s="3" t="inlineStr">
        <is>
          <t>Defect Issue</t>
        </is>
      </c>
      <c r="I111" s="3" t="inlineStr">
        <is>
          <t>Defect Qty</t>
        </is>
      </c>
      <c r="K111" s="3" t="inlineStr">
        <is>
          <t>Model Name</t>
        </is>
      </c>
      <c r="L111" s="3" t="inlineStr">
        <is>
          <t>Defect Issue</t>
        </is>
      </c>
      <c r="M111" s="3" t="inlineStr">
        <is>
          <t>Defect Qty</t>
        </is>
      </c>
      <c r="O111" s="3" t="inlineStr">
        <is>
          <t>Model Name</t>
        </is>
      </c>
      <c r="P111" s="3" t="inlineStr">
        <is>
          <t>Defect Issue</t>
        </is>
      </c>
      <c r="Q111" s="3" t="inlineStr">
        <is>
          <t>Defect Qty</t>
        </is>
      </c>
      <c r="S111" s="3" t="inlineStr">
        <is>
          <t>Model Name</t>
        </is>
      </c>
      <c r="T111" s="3" t="inlineStr">
        <is>
          <t>Defect Issue</t>
        </is>
      </c>
      <c r="U111" s="3" t="inlineStr">
        <is>
          <t>Defect Qty</t>
        </is>
      </c>
      <c r="W111" s="3" t="inlineStr">
        <is>
          <t>Model Name</t>
        </is>
      </c>
      <c r="X111" s="3" t="inlineStr">
        <is>
          <t>Defect Issue</t>
        </is>
      </c>
      <c r="Y111" s="3" t="inlineStr">
        <is>
          <t>Defect Qty</t>
        </is>
      </c>
    </row>
    <row r="112" ht="20" customHeight="1">
      <c r="A112" s="4">
        <f>H116</f>
        <v/>
      </c>
      <c r="B112" s="6">
        <f>I116</f>
        <v/>
      </c>
      <c r="C112" s="5">
        <f>C97</f>
        <v/>
      </c>
      <c r="D112" s="23" t="inlineStr">
        <is>
          <t>Re-ins</t>
        </is>
      </c>
      <c r="E112" s="21" t="inlineStr">
        <is>
          <t>JV2</t>
        </is>
      </c>
      <c r="G112" s="4" t="inlineStr">
        <is>
          <t>AIR JORDAN 1 MID SE (GS)</t>
        </is>
      </c>
      <c r="H112" s="5" t="inlineStr">
        <is>
          <t>Sum of Cleanness</t>
        </is>
      </c>
      <c r="I112" s="6" t="n">
        <v>43</v>
      </c>
      <c r="K112" s="4" t="inlineStr">
        <is>
          <t>JORDAN 1 LOW ALT (PS)</t>
        </is>
      </c>
      <c r="L112" s="5" t="inlineStr">
        <is>
          <t>Sum of Over cement</t>
        </is>
      </c>
      <c r="M112" s="6" t="n">
        <v>54</v>
      </c>
      <c r="O112" s="4" t="inlineStr">
        <is>
          <t>JORDAN 1 MID SE (PS/TD)</t>
        </is>
      </c>
      <c r="P112" s="5" t="inlineStr">
        <is>
          <t>Sum of Over cement</t>
        </is>
      </c>
      <c r="Q112" s="6" t="n">
        <v>72</v>
      </c>
      <c r="S112" s="4" t="inlineStr">
        <is>
          <t>NIKE COURT VISION LOW (MS/WS)</t>
        </is>
      </c>
      <c r="T112" s="5" t="inlineStr">
        <is>
          <t>Sum of Over cement</t>
        </is>
      </c>
      <c r="U112" s="6" t="n">
        <v>114</v>
      </c>
      <c r="W112" s="4" t="inlineStr">
        <is>
          <t>NIKE INITIATOR (MS/WS)</t>
        </is>
      </c>
      <c r="X112" s="5" t="inlineStr">
        <is>
          <t>Sum of Over cement</t>
        </is>
      </c>
      <c r="Y112" s="6" t="n">
        <v>27</v>
      </c>
    </row>
    <row r="113" ht="20" customHeight="1">
      <c r="A113" s="8">
        <f>H117</f>
        <v/>
      </c>
      <c r="B113" s="10">
        <f>I117</f>
        <v/>
      </c>
      <c r="C113" s="9">
        <f>C98</f>
        <v/>
      </c>
      <c r="D113" s="23" t="inlineStr">
        <is>
          <t>Re-ins</t>
        </is>
      </c>
      <c r="E113" s="22" t="inlineStr">
        <is>
          <t>JV2</t>
        </is>
      </c>
      <c r="G113" s="4" t="inlineStr">
        <is>
          <t>AIR JORDAN 1 MID SE (GS)</t>
        </is>
      </c>
      <c r="H113" s="5" t="inlineStr">
        <is>
          <t>Sum of Over cement</t>
        </is>
      </c>
      <c r="I113" s="6" t="n">
        <v>42</v>
      </c>
      <c r="K113" s="4" t="inlineStr">
        <is>
          <t>JORDAN 1 LOW ALT (PS)</t>
        </is>
      </c>
      <c r="L113" s="5" t="inlineStr">
        <is>
          <t>Sum of Midsole/Outsole to upper bond gap</t>
        </is>
      </c>
      <c r="M113" s="6" t="n">
        <v>43</v>
      </c>
      <c r="O113" s="4" t="inlineStr">
        <is>
          <t>JORDAN 1 MID SE (PS/TD)</t>
        </is>
      </c>
      <c r="P113" s="5" t="inlineStr">
        <is>
          <t>Sum of Midsole/Outsole to upper bond gap</t>
        </is>
      </c>
      <c r="Q113" s="6" t="n">
        <v>69</v>
      </c>
      <c r="S113" s="4" t="inlineStr">
        <is>
          <t>NIKE COURT VISION LOW (MS/WS)</t>
        </is>
      </c>
      <c r="T113" s="5" t="inlineStr">
        <is>
          <t>Sum of Cleanness</t>
        </is>
      </c>
      <c r="U113" s="6" t="n">
        <v>94</v>
      </c>
      <c r="W113" s="4" t="inlineStr">
        <is>
          <t>NIKE INITIATOR (MS/WS)</t>
        </is>
      </c>
      <c r="X113" s="5" t="inlineStr">
        <is>
          <t>Sum of Cleanness</t>
        </is>
      </c>
      <c r="Y113" s="6" t="n">
        <v>21</v>
      </c>
    </row>
    <row r="114" ht="20" customHeight="1">
      <c r="A114" s="4">
        <f>L115</f>
        <v/>
      </c>
      <c r="B114" s="6">
        <f>M115</f>
        <v/>
      </c>
      <c r="C114" s="5">
        <f>C99</f>
        <v/>
      </c>
      <c r="D114" s="23" t="inlineStr">
        <is>
          <t>Re-ins</t>
        </is>
      </c>
      <c r="E114" s="21" t="inlineStr">
        <is>
          <t>JV2</t>
        </is>
      </c>
      <c r="G114" s="4" t="inlineStr">
        <is>
          <t>AIR JORDAN 1 MID SE (GS)</t>
        </is>
      </c>
      <c r="H114" s="5" t="inlineStr">
        <is>
          <t>Sum of Midsole/Outsole to upper bond gap</t>
        </is>
      </c>
      <c r="I114" s="6" t="n">
        <v>36</v>
      </c>
      <c r="K114" s="4" t="inlineStr">
        <is>
          <t>JORDAN 1 LOW ALT (PS)</t>
        </is>
      </c>
      <c r="L114" s="5" t="inlineStr">
        <is>
          <t>Sum of Thread end</t>
        </is>
      </c>
      <c r="M114" s="6" t="n">
        <v>32</v>
      </c>
      <c r="O114" s="4" t="inlineStr">
        <is>
          <t>JORDAN 1 MID SE (PS/TD)</t>
        </is>
      </c>
      <c r="P114" s="5" t="inlineStr">
        <is>
          <t>Sum of Cleanness</t>
        </is>
      </c>
      <c r="Q114" s="6" t="n">
        <v>52</v>
      </c>
      <c r="S114" s="4" t="inlineStr">
        <is>
          <t>NIKE COURT VISION LOW (MS/WS)</t>
        </is>
      </c>
      <c r="T114" s="5" t="inlineStr">
        <is>
          <t>Sum of Midsole/Outsole to upper bond gap</t>
        </is>
      </c>
      <c r="U114" s="6" t="n">
        <v>43</v>
      </c>
      <c r="W114" s="4" t="inlineStr">
        <is>
          <t>NIKE INITIATOR (MS/WS)</t>
        </is>
      </c>
      <c r="X114" s="5" t="inlineStr">
        <is>
          <t>Sum of Thread end</t>
        </is>
      </c>
      <c r="Y114" s="6" t="n">
        <v>18</v>
      </c>
    </row>
    <row r="115" ht="20" customHeight="1">
      <c r="A115" s="8">
        <f>L116</f>
        <v/>
      </c>
      <c r="B115" s="10">
        <f>M116</f>
        <v/>
      </c>
      <c r="C115" s="9">
        <f>C100</f>
        <v/>
      </c>
      <c r="D115" s="23" t="inlineStr">
        <is>
          <t>Re-ins</t>
        </is>
      </c>
      <c r="E115" s="22" t="inlineStr">
        <is>
          <t>JV2</t>
        </is>
      </c>
      <c r="H115">
        <f>SUBSTITUTE(H112,"Sum of ","")</f>
        <v/>
      </c>
      <c r="I115">
        <f>I112</f>
        <v/>
      </c>
      <c r="L115">
        <f>SUBSTITUTE(L112,"Sum of ","")</f>
        <v/>
      </c>
      <c r="M115">
        <f>M112</f>
        <v/>
      </c>
      <c r="P115">
        <f>SUBSTITUTE(P112,"Sum of ","")</f>
        <v/>
      </c>
      <c r="Q115">
        <f>Q112</f>
        <v/>
      </c>
      <c r="T115">
        <f>SUBSTITUTE(T112,"Sum of ","")</f>
        <v/>
      </c>
      <c r="U115">
        <f>U112</f>
        <v/>
      </c>
      <c r="X115">
        <f>SUBSTITUTE(X112,"Sum of ","")</f>
        <v/>
      </c>
      <c r="Y115">
        <f>Y112</f>
        <v/>
      </c>
    </row>
    <row r="116" ht="20" customHeight="1">
      <c r="A116" s="4">
        <f>L117</f>
        <v/>
      </c>
      <c r="B116" s="6">
        <f>M117</f>
        <v/>
      </c>
      <c r="C116" s="5">
        <f>C101</f>
        <v/>
      </c>
      <c r="D116" s="23" t="inlineStr">
        <is>
          <t>Re-ins</t>
        </is>
      </c>
      <c r="E116" s="21" t="inlineStr">
        <is>
          <t>JV2</t>
        </is>
      </c>
      <c r="H116">
        <f>SUBSTITUTE(H113,"Sum of ","")</f>
        <v/>
      </c>
      <c r="I116">
        <f>I113</f>
        <v/>
      </c>
      <c r="L116">
        <f>SUBSTITUTE(L113,"Sum of ","")</f>
        <v/>
      </c>
      <c r="M116">
        <f>M113</f>
        <v/>
      </c>
      <c r="P116">
        <f>SUBSTITUTE(P113,"Sum of ","")</f>
        <v/>
      </c>
      <c r="Q116">
        <f>Q113</f>
        <v/>
      </c>
      <c r="T116">
        <f>SUBSTITUTE(T113,"Sum of ","")</f>
        <v/>
      </c>
      <c r="U116">
        <f>U113</f>
        <v/>
      </c>
      <c r="X116">
        <f>SUBSTITUTE(X113,"Sum of ","")</f>
        <v/>
      </c>
      <c r="Y116">
        <f>Y113</f>
        <v/>
      </c>
    </row>
    <row r="117" ht="20" customHeight="1">
      <c r="A117" s="8">
        <f>P115</f>
        <v/>
      </c>
      <c r="B117" s="10">
        <f>Q115</f>
        <v/>
      </c>
      <c r="C117" s="9">
        <f>C102</f>
        <v/>
      </c>
      <c r="D117" s="23" t="inlineStr">
        <is>
          <t>Re-ins</t>
        </is>
      </c>
      <c r="E117" s="22" t="inlineStr">
        <is>
          <t>JV2</t>
        </is>
      </c>
      <c r="H117">
        <f>SUBSTITUTE(H114,"Sum of ","")</f>
        <v/>
      </c>
      <c r="I117">
        <f>I114</f>
        <v/>
      </c>
      <c r="L117">
        <f>SUBSTITUTE(L114,"Sum of ","")</f>
        <v/>
      </c>
      <c r="M117">
        <f>M114</f>
        <v/>
      </c>
      <c r="P117">
        <f>SUBSTITUTE(P114,"Sum of ","")</f>
        <v/>
      </c>
      <c r="Q117">
        <f>Q114</f>
        <v/>
      </c>
      <c r="T117">
        <f>SUBSTITUTE(T114,"Sum of ","")</f>
        <v/>
      </c>
      <c r="U117">
        <f>U114</f>
        <v/>
      </c>
      <c r="X117">
        <f>SUBSTITUTE(X114,"Sum of ","")</f>
        <v/>
      </c>
      <c r="Y117">
        <f>Y114</f>
        <v/>
      </c>
    </row>
    <row r="118" ht="20" customHeight="1">
      <c r="A118" s="4">
        <f>P116</f>
        <v/>
      </c>
      <c r="B118" s="6">
        <f>Q116</f>
        <v/>
      </c>
      <c r="C118" s="5">
        <f>C103</f>
        <v/>
      </c>
      <c r="D118" s="23" t="inlineStr">
        <is>
          <t>Re-ins</t>
        </is>
      </c>
      <c r="E118" s="21" t="inlineStr">
        <is>
          <t>JV2</t>
        </is>
      </c>
    </row>
    <row r="119" ht="20" customHeight="1">
      <c r="A119" s="8">
        <f>P117</f>
        <v/>
      </c>
      <c r="B119" s="10">
        <f>Q117</f>
        <v/>
      </c>
      <c r="C119" s="9">
        <f>C104</f>
        <v/>
      </c>
      <c r="D119" s="23" t="inlineStr">
        <is>
          <t>Re-ins</t>
        </is>
      </c>
      <c r="E119" s="22" t="inlineStr">
        <is>
          <t>JV2</t>
        </is>
      </c>
    </row>
    <row r="120" ht="20" customHeight="1">
      <c r="A120" s="4">
        <f>T115</f>
        <v/>
      </c>
      <c r="B120" s="6">
        <f>U115</f>
        <v/>
      </c>
      <c r="C120" s="5">
        <f>C105</f>
        <v/>
      </c>
      <c r="D120" s="23" t="inlineStr">
        <is>
          <t>Re-ins</t>
        </is>
      </c>
      <c r="E120" s="21" t="inlineStr">
        <is>
          <t>JV2</t>
        </is>
      </c>
    </row>
    <row r="121" ht="20" customHeight="1">
      <c r="A121" s="8">
        <f>T116</f>
        <v/>
      </c>
      <c r="B121" s="10">
        <f>U116</f>
        <v/>
      </c>
      <c r="C121" s="9">
        <f>C106</f>
        <v/>
      </c>
      <c r="D121" s="23" t="inlineStr">
        <is>
          <t>Re-ins</t>
        </is>
      </c>
      <c r="E121" s="22" t="inlineStr">
        <is>
          <t>JV2</t>
        </is>
      </c>
    </row>
    <row r="122" ht="20" customHeight="1">
      <c r="A122" s="4">
        <f>T117</f>
        <v/>
      </c>
      <c r="B122" s="6">
        <f>U117</f>
        <v/>
      </c>
      <c r="C122" s="5">
        <f>C107</f>
        <v/>
      </c>
      <c r="D122" s="23" t="inlineStr">
        <is>
          <t>Re-ins</t>
        </is>
      </c>
      <c r="E122" s="21" t="inlineStr">
        <is>
          <t>JV2</t>
        </is>
      </c>
    </row>
    <row r="123" ht="20" customHeight="1">
      <c r="A123" s="8">
        <f>X115</f>
        <v/>
      </c>
      <c r="B123" s="10">
        <f>Y115</f>
        <v/>
      </c>
      <c r="C123" s="9">
        <f>C108</f>
        <v/>
      </c>
      <c r="D123" s="23" t="inlineStr">
        <is>
          <t>Re-ins</t>
        </is>
      </c>
      <c r="E123" s="22" t="inlineStr">
        <is>
          <t>JV2</t>
        </is>
      </c>
    </row>
    <row r="124" ht="20" customHeight="1">
      <c r="A124" s="4">
        <f>X116</f>
        <v/>
      </c>
      <c r="B124" s="6">
        <f>Y116</f>
        <v/>
      </c>
      <c r="C124" s="5">
        <f>C109</f>
        <v/>
      </c>
      <c r="D124" s="23" t="inlineStr">
        <is>
          <t>Re-ins</t>
        </is>
      </c>
      <c r="E124" s="21" t="inlineStr">
        <is>
          <t>JV2</t>
        </is>
      </c>
    </row>
    <row r="125" ht="20" customHeight="1">
      <c r="A125" s="8">
        <f>X117</f>
        <v/>
      </c>
      <c r="B125" s="10">
        <f>Y117</f>
        <v/>
      </c>
      <c r="C125" s="9">
        <f>C110</f>
        <v/>
      </c>
      <c r="D125" s="23" t="inlineStr">
        <is>
          <t>Re-ins</t>
        </is>
      </c>
      <c r="E125" s="22" t="inlineStr">
        <is>
          <t>JV2</t>
        </is>
      </c>
    </row>
  </sheetData>
  <mergeCells count="10">
    <mergeCell ref="A4:E4"/>
    <mergeCell ref="G94:Y94"/>
    <mergeCell ref="A2:E2"/>
    <mergeCell ref="G19:Y19"/>
    <mergeCell ref="G79:Y79"/>
    <mergeCell ref="G49:Y49"/>
    <mergeCell ref="G64:Y64"/>
    <mergeCell ref="G4:Y4"/>
    <mergeCell ref="G34:Y34"/>
    <mergeCell ref="G109:Y10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Y12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14" customWidth="1" min="4" max="4"/>
    <col width="12" customWidth="1" min="5" max="5"/>
    <col width="4" customWidth="1" min="6" max="6"/>
    <col width="30" customWidth="1" min="7" max="7"/>
    <col width="16" customWidth="1" min="8" max="8"/>
    <col width="16" customWidth="1" min="9" max="9"/>
    <col width="3" customWidth="1" min="10" max="10"/>
    <col width="30" customWidth="1" min="11" max="11"/>
    <col width="16" customWidth="1" min="12" max="12"/>
    <col width="16" customWidth="1" min="13" max="13"/>
    <col width="3" customWidth="1" min="14" max="14"/>
    <col width="30" customWidth="1" min="15" max="15"/>
    <col width="16" customWidth="1" min="16" max="16"/>
    <col width="16" customWidth="1" min="17" max="17"/>
    <col width="3" customWidth="1" min="18" max="18"/>
    <col width="30" customWidth="1" min="19" max="19"/>
    <col width="16" customWidth="1" min="20" max="20"/>
    <col width="16" customWidth="1" min="21" max="21"/>
    <col width="3" customWidth="1" min="22" max="22"/>
    <col width="30" customWidth="1" min="23" max="23"/>
    <col width="16" customWidth="1" min="24" max="24"/>
    <col width="16" customWidth="1" min="25" max="25"/>
  </cols>
  <sheetData>
    <row r="2" ht="28" customHeight="1">
      <c r="A2" s="1" t="inlineStr">
        <is>
          <t>MA RE-AUDIT &amp; HFPA CROSS-ANALYSIS DASHBOARD</t>
        </is>
      </c>
    </row>
    <row r="4" ht="24" customHeight="1">
      <c r="A4" s="2" t="inlineStr">
        <is>
          <t>MASTER DEFECT AUDIT LOG — MA</t>
        </is>
      </c>
      <c r="G4" s="2" t="inlineStr">
        <is>
          <t>FACTORY VH — HFPA TOP DEFECTS PER MODEL</t>
        </is>
      </c>
    </row>
    <row r="5" ht="22" customHeight="1">
      <c r="A5" s="3" t="inlineStr">
        <is>
          <t>Defect Description</t>
        </is>
      </c>
      <c r="B5" s="3" t="inlineStr">
        <is>
          <t>Defect Qty</t>
        </is>
      </c>
      <c r="C5" s="3" t="inlineStr">
        <is>
          <t>Shoe Model</t>
        </is>
      </c>
      <c r="D5" s="3" t="inlineStr">
        <is>
          <t>Audit Station</t>
        </is>
      </c>
      <c r="E5" s="3" t="inlineStr">
        <is>
          <t>Factory Site</t>
        </is>
      </c>
    </row>
    <row r="6" ht="20" customHeight="1">
      <c r="A6" s="4">
        <f>H10</f>
        <v/>
      </c>
      <c r="B6" s="6">
        <f>I10</f>
        <v/>
      </c>
      <c r="C6" s="5">
        <f>G7</f>
        <v/>
      </c>
      <c r="D6" s="20" t="inlineStr">
        <is>
          <t>HFPA</t>
        </is>
      </c>
      <c r="E6" s="21" t="inlineStr">
        <is>
          <t>VH</t>
        </is>
      </c>
      <c r="G6" s="3" t="inlineStr">
        <is>
          <t>Model Name</t>
        </is>
      </c>
      <c r="H6" s="3" t="inlineStr">
        <is>
          <t>Defect Issue</t>
        </is>
      </c>
      <c r="I6" s="3" t="inlineStr">
        <is>
          <t>Total Qty</t>
        </is>
      </c>
      <c r="K6" s="3" t="inlineStr">
        <is>
          <t>Model Name</t>
        </is>
      </c>
      <c r="L6" s="3" t="inlineStr">
        <is>
          <t>Defect Issue</t>
        </is>
      </c>
      <c r="M6" s="3" t="inlineStr">
        <is>
          <t>Total Qty</t>
        </is>
      </c>
      <c r="O6" s="3" t="inlineStr">
        <is>
          <t>Model Name</t>
        </is>
      </c>
      <c r="P6" s="3" t="inlineStr">
        <is>
          <t>Defect Issue</t>
        </is>
      </c>
      <c r="Q6" s="3" t="inlineStr">
        <is>
          <t>Total Qty</t>
        </is>
      </c>
      <c r="S6" s="3" t="inlineStr">
        <is>
          <t>Model Name</t>
        </is>
      </c>
      <c r="T6" s="3" t="inlineStr">
        <is>
          <t>Defect Issue</t>
        </is>
      </c>
      <c r="U6" s="3" t="inlineStr">
        <is>
          <t>Total Qty</t>
        </is>
      </c>
      <c r="W6" s="3" t="inlineStr">
        <is>
          <t>Model Name</t>
        </is>
      </c>
      <c r="X6" s="3" t="inlineStr">
        <is>
          <t>Defect Issue</t>
        </is>
      </c>
      <c r="Y6" s="3" t="inlineStr">
        <is>
          <t>Total Qty</t>
        </is>
      </c>
    </row>
    <row r="7" ht="20" customHeight="1">
      <c r="A7" s="8">
        <f>H11</f>
        <v/>
      </c>
      <c r="B7" s="10">
        <f>I11</f>
        <v/>
      </c>
      <c r="C7" s="9">
        <f>G8</f>
        <v/>
      </c>
      <c r="D7" s="20" t="inlineStr">
        <is>
          <t>HFPA</t>
        </is>
      </c>
      <c r="E7" s="22" t="inlineStr">
        <is>
          <t>VH</t>
        </is>
      </c>
      <c r="G7" s="4" t="inlineStr">
        <is>
          <t>AIR JORDAN 1 LOW SE (MS/WS)</t>
        </is>
      </c>
      <c r="H7" s="5" t="inlineStr">
        <is>
          <t>Sum of Cleanness</t>
        </is>
      </c>
      <c r="I7" s="6" t="n">
        <v>28</v>
      </c>
      <c r="K7" s="4" t="inlineStr">
        <is>
          <t>JORDAN SPIZIKE LOW (GS)</t>
        </is>
      </c>
      <c r="L7" s="5" t="inlineStr">
        <is>
          <t>Sum of Midsole/Outsole to upper bond gap</t>
        </is>
      </c>
      <c r="M7" s="6" t="n">
        <v>42</v>
      </c>
      <c r="O7" s="4" t="inlineStr">
        <is>
          <t>JORDAN TRUE FLIGHT (MS)</t>
        </is>
      </c>
      <c r="P7" s="5" t="inlineStr">
        <is>
          <t>Sum of Midsole/Outsole to upper bond gap</t>
        </is>
      </c>
      <c r="Q7" s="6" t="n">
        <v>32</v>
      </c>
      <c r="S7" s="4" t="inlineStr">
        <is>
          <t>NIKE AIR WINFLO 12 (MS/WS)</t>
        </is>
      </c>
      <c r="T7" s="5" t="inlineStr">
        <is>
          <t>Sum of Midsole/Outsole to upper bond gap</t>
        </is>
      </c>
      <c r="U7" s="6" t="n">
        <v>46</v>
      </c>
      <c r="W7" s="4" t="inlineStr">
        <is>
          <t>NIKE SB FORCE 58</t>
        </is>
      </c>
      <c r="X7" s="5" t="inlineStr">
        <is>
          <t>Sum of Cleanness</t>
        </is>
      </c>
      <c r="Y7" s="6" t="n">
        <v>48</v>
      </c>
    </row>
    <row r="8" ht="20" customHeight="1">
      <c r="A8" s="4">
        <f>H12</f>
        <v/>
      </c>
      <c r="B8" s="6">
        <f>I12</f>
        <v/>
      </c>
      <c r="C8" s="5">
        <f>G9</f>
        <v/>
      </c>
      <c r="D8" s="20" t="inlineStr">
        <is>
          <t>HFPA</t>
        </is>
      </c>
      <c r="E8" s="21" t="inlineStr">
        <is>
          <t>VH</t>
        </is>
      </c>
      <c r="G8" s="4" t="inlineStr">
        <is>
          <t>AIR JORDAN 1 LOW SE (MS/WS)</t>
        </is>
      </c>
      <c r="H8" s="5" t="inlineStr">
        <is>
          <t>Sum of Midsole/Outsole to upper bond gap</t>
        </is>
      </c>
      <c r="I8" s="6" t="n">
        <v>25</v>
      </c>
      <c r="K8" s="4" t="inlineStr">
        <is>
          <t>JORDAN SPIZIKE LOW (GS)</t>
        </is>
      </c>
      <c r="L8" s="5" t="inlineStr">
        <is>
          <t>Sum of Cleanness</t>
        </is>
      </c>
      <c r="M8" s="6" t="n">
        <v>35</v>
      </c>
      <c r="O8" s="4" t="inlineStr">
        <is>
          <t>JORDAN TRUE FLIGHT (MS)</t>
        </is>
      </c>
      <c r="P8" s="5" t="inlineStr">
        <is>
          <t>Sum of Cleanness</t>
        </is>
      </c>
      <c r="Q8" s="6" t="n">
        <v>28</v>
      </c>
      <c r="S8" s="4" t="inlineStr">
        <is>
          <t>NIKE AIR WINFLO 12 (MS/WS)</t>
        </is>
      </c>
      <c r="T8" s="5" t="inlineStr">
        <is>
          <t>Sum of Cleanness</t>
        </is>
      </c>
      <c r="U8" s="6" t="n">
        <v>38</v>
      </c>
      <c r="W8" s="4" t="inlineStr">
        <is>
          <t>NIKE SB FORCE 58</t>
        </is>
      </c>
      <c r="X8" s="5" t="inlineStr">
        <is>
          <t>Sum of Midsole/Outsole to upper bond gap</t>
        </is>
      </c>
      <c r="Y8" s="6" t="n">
        <v>38</v>
      </c>
    </row>
    <row r="9" ht="20" customHeight="1">
      <c r="A9" s="8">
        <f>L10</f>
        <v/>
      </c>
      <c r="B9" s="10">
        <f>M10</f>
        <v/>
      </c>
      <c r="C9" s="9">
        <f>K7</f>
        <v/>
      </c>
      <c r="D9" s="20" t="inlineStr">
        <is>
          <t>HFPA</t>
        </is>
      </c>
      <c r="E9" s="22" t="inlineStr">
        <is>
          <t>VH</t>
        </is>
      </c>
      <c r="G9" s="4" t="inlineStr">
        <is>
          <t>AIR JORDAN 1 LOW SE (MS/WS)</t>
        </is>
      </c>
      <c r="H9" s="5" t="inlineStr">
        <is>
          <t>Sum of Over cement</t>
        </is>
      </c>
      <c r="I9" s="6" t="n">
        <v>21</v>
      </c>
      <c r="K9" s="4" t="inlineStr">
        <is>
          <t>JORDAN SPIZIKE LOW (GS)</t>
        </is>
      </c>
      <c r="L9" s="5" t="inlineStr">
        <is>
          <t>Sum of Thread end</t>
        </is>
      </c>
      <c r="M9" s="6" t="n">
        <v>18</v>
      </c>
      <c r="O9" s="4" t="inlineStr">
        <is>
          <t>JORDAN TRUE FLIGHT (MS)</t>
        </is>
      </c>
      <c r="P9" s="5" t="inlineStr">
        <is>
          <t>Sum of Over cement</t>
        </is>
      </c>
      <c r="Q9" s="6" t="n">
        <v>14</v>
      </c>
      <c r="S9" s="4" t="inlineStr">
        <is>
          <t>NIKE AIR WINFLO 12 (MS/WS)</t>
        </is>
      </c>
      <c r="T9" s="5" t="inlineStr">
        <is>
          <t>Sum of Over cement</t>
        </is>
      </c>
      <c r="U9" s="6" t="n">
        <v>28</v>
      </c>
      <c r="W9" s="4" t="inlineStr">
        <is>
          <t>NIKE SB FORCE 58</t>
        </is>
      </c>
      <c r="X9" s="5" t="inlineStr">
        <is>
          <t>Sum of Over cement</t>
        </is>
      </c>
      <c r="Y9" s="6" t="n">
        <v>27</v>
      </c>
    </row>
    <row r="10" ht="20" customHeight="1">
      <c r="A10" s="4">
        <f>L11</f>
        <v/>
      </c>
      <c r="B10" s="6">
        <f>M11</f>
        <v/>
      </c>
      <c r="C10" s="5">
        <f>K8</f>
        <v/>
      </c>
      <c r="D10" s="20" t="inlineStr">
        <is>
          <t>HFPA</t>
        </is>
      </c>
      <c r="E10" s="21" t="inlineStr">
        <is>
          <t>VH</t>
        </is>
      </c>
      <c r="H10">
        <f>SUBSTITUTE(H7,"Sum of ","")</f>
        <v/>
      </c>
      <c r="I10">
        <f>I7</f>
        <v/>
      </c>
      <c r="L10">
        <f>SUBSTITUTE(L7,"Sum of ","")</f>
        <v/>
      </c>
      <c r="M10">
        <f>M7</f>
        <v/>
      </c>
      <c r="P10">
        <f>SUBSTITUTE(P7,"Sum of ","")</f>
        <v/>
      </c>
      <c r="Q10">
        <f>Q7</f>
        <v/>
      </c>
      <c r="T10">
        <f>SUBSTITUTE(T7,"Sum of ","")</f>
        <v/>
      </c>
      <c r="U10">
        <f>U7</f>
        <v/>
      </c>
      <c r="X10">
        <f>SUBSTITUTE(X7,"Sum of ","")</f>
        <v/>
      </c>
      <c r="Y10">
        <f>Y7</f>
        <v/>
      </c>
    </row>
    <row r="11" ht="20" customHeight="1">
      <c r="A11" s="8">
        <f>L12</f>
        <v/>
      </c>
      <c r="B11" s="10">
        <f>M12</f>
        <v/>
      </c>
      <c r="C11" s="9">
        <f>K9</f>
        <v/>
      </c>
      <c r="D11" s="20" t="inlineStr">
        <is>
          <t>HFPA</t>
        </is>
      </c>
      <c r="E11" s="22" t="inlineStr">
        <is>
          <t>VH</t>
        </is>
      </c>
      <c r="H11">
        <f>SUBSTITUTE(H8,"Sum of ","")</f>
        <v/>
      </c>
      <c r="I11">
        <f>I8</f>
        <v/>
      </c>
      <c r="L11">
        <f>SUBSTITUTE(L8,"Sum of ","")</f>
        <v/>
      </c>
      <c r="M11">
        <f>M8</f>
        <v/>
      </c>
      <c r="P11">
        <f>SUBSTITUTE(P8,"Sum of ","")</f>
        <v/>
      </c>
      <c r="Q11">
        <f>Q8</f>
        <v/>
      </c>
      <c r="T11">
        <f>SUBSTITUTE(T8,"Sum of ","")</f>
        <v/>
      </c>
      <c r="U11">
        <f>U8</f>
        <v/>
      </c>
      <c r="X11">
        <f>SUBSTITUTE(X8,"Sum of ","")</f>
        <v/>
      </c>
      <c r="Y11">
        <f>Y8</f>
        <v/>
      </c>
    </row>
    <row r="12" ht="20" customHeight="1">
      <c r="A12" s="4">
        <f>P10</f>
        <v/>
      </c>
      <c r="B12" s="6">
        <f>Q10</f>
        <v/>
      </c>
      <c r="C12" s="5">
        <f>O7</f>
        <v/>
      </c>
      <c r="D12" s="20" t="inlineStr">
        <is>
          <t>HFPA</t>
        </is>
      </c>
      <c r="E12" s="21" t="inlineStr">
        <is>
          <t>VH</t>
        </is>
      </c>
      <c r="H12">
        <f>SUBSTITUTE(H9,"Sum of ","")</f>
        <v/>
      </c>
      <c r="I12">
        <f>I9</f>
        <v/>
      </c>
      <c r="L12">
        <f>SUBSTITUTE(L9,"Sum of ","")</f>
        <v/>
      </c>
      <c r="M12">
        <f>M9</f>
        <v/>
      </c>
      <c r="P12">
        <f>SUBSTITUTE(P9,"Sum of ","")</f>
        <v/>
      </c>
      <c r="Q12">
        <f>Q9</f>
        <v/>
      </c>
      <c r="T12">
        <f>SUBSTITUTE(T9,"Sum of ","")</f>
        <v/>
      </c>
      <c r="U12">
        <f>U9</f>
        <v/>
      </c>
      <c r="X12">
        <f>SUBSTITUTE(X9,"Sum of ","")</f>
        <v/>
      </c>
      <c r="Y12">
        <f>Y9</f>
        <v/>
      </c>
    </row>
    <row r="13" ht="20" customHeight="1">
      <c r="A13" s="8">
        <f>P11</f>
        <v/>
      </c>
      <c r="B13" s="10">
        <f>Q11</f>
        <v/>
      </c>
      <c r="C13" s="9">
        <f>O8</f>
        <v/>
      </c>
      <c r="D13" s="20" t="inlineStr">
        <is>
          <t>HFPA</t>
        </is>
      </c>
      <c r="E13" s="22" t="inlineStr">
        <is>
          <t>VH</t>
        </is>
      </c>
    </row>
    <row r="14" ht="20" customHeight="1">
      <c r="A14" s="4">
        <f>P12</f>
        <v/>
      </c>
      <c r="B14" s="6">
        <f>Q12</f>
        <v/>
      </c>
      <c r="C14" s="5">
        <f>O9</f>
        <v/>
      </c>
      <c r="D14" s="20" t="inlineStr">
        <is>
          <t>HFPA</t>
        </is>
      </c>
      <c r="E14" s="21" t="inlineStr">
        <is>
          <t>VH</t>
        </is>
      </c>
    </row>
    <row r="15" ht="20" customHeight="1">
      <c r="A15" s="8">
        <f>T10</f>
        <v/>
      </c>
      <c r="B15" s="10">
        <f>U10</f>
        <v/>
      </c>
      <c r="C15" s="9">
        <f>S7</f>
        <v/>
      </c>
      <c r="D15" s="20" t="inlineStr">
        <is>
          <t>HFPA</t>
        </is>
      </c>
      <c r="E15" s="22" t="inlineStr">
        <is>
          <t>VH</t>
        </is>
      </c>
    </row>
    <row r="16" ht="20" customHeight="1">
      <c r="A16" s="4">
        <f>T11</f>
        <v/>
      </c>
      <c r="B16" s="6">
        <f>U11</f>
        <v/>
      </c>
      <c r="C16" s="5">
        <f>S8</f>
        <v/>
      </c>
      <c r="D16" s="20" t="inlineStr">
        <is>
          <t>HFPA</t>
        </is>
      </c>
      <c r="E16" s="21" t="inlineStr">
        <is>
          <t>VH</t>
        </is>
      </c>
    </row>
    <row r="17" ht="20" customHeight="1">
      <c r="A17" s="8">
        <f>T12</f>
        <v/>
      </c>
      <c r="B17" s="10">
        <f>U12</f>
        <v/>
      </c>
      <c r="C17" s="9">
        <f>S9</f>
        <v/>
      </c>
      <c r="D17" s="20" t="inlineStr">
        <is>
          <t>HFPA</t>
        </is>
      </c>
      <c r="E17" s="22" t="inlineStr">
        <is>
          <t>VH</t>
        </is>
      </c>
    </row>
    <row r="18" ht="20" customHeight="1">
      <c r="A18" s="4">
        <f>X10</f>
        <v/>
      </c>
      <c r="B18" s="6">
        <f>Y10</f>
        <v/>
      </c>
      <c r="C18" s="5">
        <f>W7</f>
        <v/>
      </c>
      <c r="D18" s="20" t="inlineStr">
        <is>
          <t>HFPA</t>
        </is>
      </c>
      <c r="E18" s="21" t="inlineStr">
        <is>
          <t>VH</t>
        </is>
      </c>
    </row>
    <row r="19" ht="24" customHeight="1">
      <c r="A19" s="8">
        <f>X11</f>
        <v/>
      </c>
      <c r="B19" s="10">
        <f>Y11</f>
        <v/>
      </c>
      <c r="C19" s="9">
        <f>W8</f>
        <v/>
      </c>
      <c r="D19" s="20" t="inlineStr">
        <is>
          <t>HFPA</t>
        </is>
      </c>
      <c r="E19" s="22" t="inlineStr">
        <is>
          <t>VH</t>
        </is>
      </c>
      <c r="G19" s="2" t="inlineStr">
        <is>
          <t>FACTORY VH — RE-INSPECTION (RE-AUDIT - MA)</t>
        </is>
      </c>
    </row>
    <row r="20" ht="20" customHeight="1">
      <c r="A20" s="4">
        <f>X12</f>
        <v/>
      </c>
      <c r="B20" s="6">
        <f>Y12</f>
        <v/>
      </c>
      <c r="C20" s="5">
        <f>W9</f>
        <v/>
      </c>
      <c r="D20" s="20" t="inlineStr">
        <is>
          <t>HFPA</t>
        </is>
      </c>
      <c r="E20" s="21" t="inlineStr">
        <is>
          <t>VH</t>
        </is>
      </c>
    </row>
    <row r="21" ht="20" customHeight="1">
      <c r="A21" s="8">
        <f>H25</f>
        <v/>
      </c>
      <c r="B21" s="10">
        <f>I25</f>
        <v/>
      </c>
      <c r="C21" s="9">
        <f>C6</f>
        <v/>
      </c>
      <c r="D21" s="23" t="inlineStr">
        <is>
          <t>Re-ins</t>
        </is>
      </c>
      <c r="E21" s="22" t="inlineStr">
        <is>
          <t>VH</t>
        </is>
      </c>
      <c r="G21" s="3" t="inlineStr">
        <is>
          <t>Model Name</t>
        </is>
      </c>
      <c r="H21" s="3" t="inlineStr">
        <is>
          <t>Defect Issue</t>
        </is>
      </c>
      <c r="I21" s="3" t="inlineStr">
        <is>
          <t>Defect Qty</t>
        </is>
      </c>
      <c r="K21" s="3" t="inlineStr">
        <is>
          <t>Model Name</t>
        </is>
      </c>
      <c r="L21" s="3" t="inlineStr">
        <is>
          <t>Defect Issue</t>
        </is>
      </c>
      <c r="M21" s="3" t="inlineStr">
        <is>
          <t>Defect Qty</t>
        </is>
      </c>
      <c r="O21" s="3" t="inlineStr">
        <is>
          <t>Model Name</t>
        </is>
      </c>
      <c r="P21" s="3" t="inlineStr">
        <is>
          <t>Defect Issue</t>
        </is>
      </c>
      <c r="Q21" s="3" t="inlineStr">
        <is>
          <t>Defect Qty</t>
        </is>
      </c>
      <c r="S21" s="3" t="inlineStr">
        <is>
          <t>Model Name</t>
        </is>
      </c>
      <c r="T21" s="3" t="inlineStr">
        <is>
          <t>Defect Issue</t>
        </is>
      </c>
      <c r="U21" s="3" t="inlineStr">
        <is>
          <t>Defect Qty</t>
        </is>
      </c>
      <c r="W21" s="3" t="inlineStr">
        <is>
          <t>Model Name</t>
        </is>
      </c>
      <c r="X21" s="3" t="inlineStr">
        <is>
          <t>Defect Issue</t>
        </is>
      </c>
      <c r="Y21" s="3" t="inlineStr">
        <is>
          <t>Defect Qty</t>
        </is>
      </c>
    </row>
    <row r="22" ht="20" customHeight="1">
      <c r="A22" s="4">
        <f>H26</f>
        <v/>
      </c>
      <c r="B22" s="6">
        <f>I26</f>
        <v/>
      </c>
      <c r="C22" s="5">
        <f>C7</f>
        <v/>
      </c>
      <c r="D22" s="23" t="inlineStr">
        <is>
          <t>Re-ins</t>
        </is>
      </c>
      <c r="E22" s="21" t="inlineStr">
        <is>
          <t>VH</t>
        </is>
      </c>
      <c r="G22" s="4" t="inlineStr">
        <is>
          <t>AIR JORDAN 1 LOW SE (MS/WS)</t>
        </is>
      </c>
      <c r="H22" s="5" t="inlineStr">
        <is>
          <t>Sum of Cleanness</t>
        </is>
      </c>
      <c r="I22" s="6" t="n">
        <v>2</v>
      </c>
      <c r="K22" s="4" t="inlineStr">
        <is>
          <t>JORDAN SPIZIKE LOW (GS)</t>
        </is>
      </c>
      <c r="L22" s="5" t="inlineStr">
        <is>
          <t>Sum of Thread end</t>
        </is>
      </c>
      <c r="M22" s="6" t="n">
        <v>4</v>
      </c>
      <c r="O22" s="4" t="inlineStr">
        <is>
          <t>JORDAN TRUE FLIGHT (MS)</t>
        </is>
      </c>
      <c r="P22" s="5" t="inlineStr">
        <is>
          <t>Sum of Over cement</t>
        </is>
      </c>
      <c r="Q22" s="6" t="n">
        <v>2</v>
      </c>
      <c r="S22" s="4" t="inlineStr">
        <is>
          <t>NIKE AIR WINFLO 12 (MS/WS)</t>
        </is>
      </c>
      <c r="T22" s="5" t="inlineStr">
        <is>
          <t>Sum of Cleanness</t>
        </is>
      </c>
      <c r="U22" s="6" t="n">
        <v>1</v>
      </c>
      <c r="W22" s="4" t="inlineStr">
        <is>
          <t>NIKE SB FORCE 58</t>
        </is>
      </c>
      <c r="X22" s="5" t="inlineStr">
        <is>
          <t>Sum of Components inconsistent</t>
        </is>
      </c>
      <c r="Y22" s="6" t="n">
        <v>2</v>
      </c>
    </row>
    <row r="23" ht="20" customHeight="1">
      <c r="A23" s="8">
        <f>H27</f>
        <v/>
      </c>
      <c r="B23" s="10">
        <f>I27</f>
        <v/>
      </c>
      <c r="C23" s="9">
        <f>C8</f>
        <v/>
      </c>
      <c r="D23" s="23" t="inlineStr">
        <is>
          <t>Re-ins</t>
        </is>
      </c>
      <c r="E23" s="22" t="inlineStr">
        <is>
          <t>VH</t>
        </is>
      </c>
      <c r="G23" s="4" t="inlineStr">
        <is>
          <t>AIR JORDAN 1 LOW SE (MS/WS)</t>
        </is>
      </c>
      <c r="H23" s="5" t="inlineStr">
        <is>
          <t>Sum of Over cement</t>
        </is>
      </c>
      <c r="I23" s="6" t="n">
        <v>1</v>
      </c>
      <c r="K23" s="4" t="inlineStr">
        <is>
          <t>JORDAN SPIZIKE LOW (GS)</t>
        </is>
      </c>
      <c r="L23" s="5" t="inlineStr">
        <is>
          <t>Sum of Heel/Tip height inconsistent</t>
        </is>
      </c>
      <c r="M23" s="6" t="n">
        <v>2</v>
      </c>
      <c r="O23" s="4" t="inlineStr">
        <is>
          <t>JORDAN TRUE FLIGHT (MS)</t>
        </is>
      </c>
      <c r="P23" s="5" t="inlineStr">
        <is>
          <t>Sum of Cleanness</t>
        </is>
      </c>
      <c r="Q23" s="6" t="n">
        <v>1</v>
      </c>
      <c r="S23" s="24" t="n"/>
      <c r="T23" s="24" t="n"/>
      <c r="U23" s="24" t="n"/>
      <c r="W23" s="4" t="inlineStr">
        <is>
          <t>NIKE SB FORCE 58</t>
        </is>
      </c>
      <c r="X23" s="5" t="inlineStr">
        <is>
          <t>Sum of Rocking</t>
        </is>
      </c>
      <c r="Y23" s="6" t="n">
        <v>2</v>
      </c>
    </row>
    <row r="24" ht="20" customHeight="1">
      <c r="A24" s="4">
        <f>L25</f>
        <v/>
      </c>
      <c r="B24" s="6">
        <f>M25</f>
        <v/>
      </c>
      <c r="C24" s="5">
        <f>C9</f>
        <v/>
      </c>
      <c r="D24" s="23" t="inlineStr">
        <is>
          <t>Re-ins</t>
        </is>
      </c>
      <c r="E24" s="21" t="inlineStr">
        <is>
          <t>VH</t>
        </is>
      </c>
      <c r="G24" s="24" t="n"/>
      <c r="H24" s="24" t="n"/>
      <c r="I24" s="24" t="n"/>
      <c r="K24" s="4" t="inlineStr">
        <is>
          <t>JORDAN SPIZIKE LOW (GS)</t>
        </is>
      </c>
      <c r="L24" s="5" t="inlineStr">
        <is>
          <t>Sum of Rocking</t>
        </is>
      </c>
      <c r="M24" s="6" t="n">
        <v>1</v>
      </c>
      <c r="O24" s="24" t="n"/>
      <c r="P24" s="24" t="n"/>
      <c r="Q24" s="24" t="n"/>
      <c r="S24" s="24" t="n"/>
      <c r="T24" s="24" t="n"/>
      <c r="U24" s="24" t="n"/>
      <c r="W24" s="4" t="inlineStr">
        <is>
          <t>NIKE SB FORCE 58</t>
        </is>
      </c>
      <c r="X24" s="5" t="inlineStr">
        <is>
          <t>Sum of Cleanness</t>
        </is>
      </c>
      <c r="Y24" s="6" t="n">
        <v>1</v>
      </c>
    </row>
    <row r="25" ht="20" customHeight="1">
      <c r="A25" s="8">
        <f>L26</f>
        <v/>
      </c>
      <c r="B25" s="10">
        <f>M26</f>
        <v/>
      </c>
      <c r="C25" s="9">
        <f>C10</f>
        <v/>
      </c>
      <c r="D25" s="23" t="inlineStr">
        <is>
          <t>Re-ins</t>
        </is>
      </c>
      <c r="E25" s="22" t="inlineStr">
        <is>
          <t>VH</t>
        </is>
      </c>
      <c r="H25">
        <f>SUBSTITUTE(H22,"Sum of ","")</f>
        <v/>
      </c>
      <c r="I25">
        <f>I22</f>
        <v/>
      </c>
      <c r="L25">
        <f>SUBSTITUTE(L22,"Sum of ","")</f>
        <v/>
      </c>
      <c r="M25">
        <f>M22</f>
        <v/>
      </c>
      <c r="P25">
        <f>SUBSTITUTE(P22,"Sum of ","")</f>
        <v/>
      </c>
      <c r="Q25">
        <f>Q22</f>
        <v/>
      </c>
      <c r="T25">
        <f>SUBSTITUTE(T22,"Sum of ","")</f>
        <v/>
      </c>
      <c r="U25">
        <f>U22</f>
        <v/>
      </c>
      <c r="X25">
        <f>SUBSTITUTE(X22,"Sum of ","")</f>
        <v/>
      </c>
      <c r="Y25">
        <f>Y22</f>
        <v/>
      </c>
    </row>
    <row r="26" ht="20" customHeight="1">
      <c r="A26" s="4">
        <f>L27</f>
        <v/>
      </c>
      <c r="B26" s="6">
        <f>M27</f>
        <v/>
      </c>
      <c r="C26" s="5">
        <f>C11</f>
        <v/>
      </c>
      <c r="D26" s="23" t="inlineStr">
        <is>
          <t>Re-ins</t>
        </is>
      </c>
      <c r="E26" s="21" t="inlineStr">
        <is>
          <t>VH</t>
        </is>
      </c>
      <c r="H26">
        <f>SUBSTITUTE(H23,"Sum of ","")</f>
        <v/>
      </c>
      <c r="I26">
        <f>I23</f>
        <v/>
      </c>
      <c r="L26">
        <f>SUBSTITUTE(L23,"Sum of ","")</f>
        <v/>
      </c>
      <c r="M26">
        <f>M23</f>
        <v/>
      </c>
      <c r="P26">
        <f>SUBSTITUTE(P23,"Sum of ","")</f>
        <v/>
      </c>
      <c r="Q26">
        <f>Q23</f>
        <v/>
      </c>
      <c r="T26">
        <f>SUBSTITUTE(T23,"Sum of ","")</f>
        <v/>
      </c>
      <c r="U26">
        <f>U23</f>
        <v/>
      </c>
      <c r="X26">
        <f>SUBSTITUTE(X23,"Sum of ","")</f>
        <v/>
      </c>
      <c r="Y26">
        <f>Y23</f>
        <v/>
      </c>
    </row>
    <row r="27" ht="20" customHeight="1">
      <c r="A27" s="8">
        <f>P25</f>
        <v/>
      </c>
      <c r="B27" s="10">
        <f>Q25</f>
        <v/>
      </c>
      <c r="C27" s="9">
        <f>C12</f>
        <v/>
      </c>
      <c r="D27" s="23" t="inlineStr">
        <is>
          <t>Re-ins</t>
        </is>
      </c>
      <c r="E27" s="22" t="inlineStr">
        <is>
          <t>VH</t>
        </is>
      </c>
      <c r="H27">
        <f>SUBSTITUTE(H24,"Sum of ","")</f>
        <v/>
      </c>
      <c r="I27">
        <f>I24</f>
        <v/>
      </c>
      <c r="L27">
        <f>SUBSTITUTE(L24,"Sum of ","")</f>
        <v/>
      </c>
      <c r="M27">
        <f>M24</f>
        <v/>
      </c>
      <c r="P27">
        <f>SUBSTITUTE(P24,"Sum of ","")</f>
        <v/>
      </c>
      <c r="Q27">
        <f>Q24</f>
        <v/>
      </c>
      <c r="T27">
        <f>SUBSTITUTE(T24,"Sum of ","")</f>
        <v/>
      </c>
      <c r="U27">
        <f>U24</f>
        <v/>
      </c>
      <c r="X27">
        <f>SUBSTITUTE(X24,"Sum of ","")</f>
        <v/>
      </c>
      <c r="Y27">
        <f>Y24</f>
        <v/>
      </c>
    </row>
    <row r="28" ht="20" customHeight="1">
      <c r="A28" s="4">
        <f>P26</f>
        <v/>
      </c>
      <c r="B28" s="6">
        <f>Q26</f>
        <v/>
      </c>
      <c r="C28" s="5">
        <f>C13</f>
        <v/>
      </c>
      <c r="D28" s="23" t="inlineStr">
        <is>
          <t>Re-ins</t>
        </is>
      </c>
      <c r="E28" s="21" t="inlineStr">
        <is>
          <t>VH</t>
        </is>
      </c>
    </row>
    <row r="29" ht="20" customHeight="1">
      <c r="A29" s="8">
        <f>P27</f>
        <v/>
      </c>
      <c r="B29" s="10">
        <f>Q27</f>
        <v/>
      </c>
      <c r="C29" s="9">
        <f>C14</f>
        <v/>
      </c>
      <c r="D29" s="23" t="inlineStr">
        <is>
          <t>Re-ins</t>
        </is>
      </c>
      <c r="E29" s="22" t="inlineStr">
        <is>
          <t>VH</t>
        </is>
      </c>
    </row>
    <row r="30" ht="20" customHeight="1">
      <c r="A30" s="4">
        <f>T25</f>
        <v/>
      </c>
      <c r="B30" s="6">
        <f>U25</f>
        <v/>
      </c>
      <c r="C30" s="5">
        <f>C15</f>
        <v/>
      </c>
      <c r="D30" s="23" t="inlineStr">
        <is>
          <t>Re-ins</t>
        </is>
      </c>
      <c r="E30" s="21" t="inlineStr">
        <is>
          <t>VH</t>
        </is>
      </c>
    </row>
    <row r="31" ht="20" customHeight="1">
      <c r="A31" s="8">
        <f>T26</f>
        <v/>
      </c>
      <c r="B31" s="10">
        <f>U26</f>
        <v/>
      </c>
      <c r="C31" s="9">
        <f>C16</f>
        <v/>
      </c>
      <c r="D31" s="23" t="inlineStr">
        <is>
          <t>Re-ins</t>
        </is>
      </c>
      <c r="E31" s="22" t="inlineStr">
        <is>
          <t>VH</t>
        </is>
      </c>
    </row>
    <row r="32" ht="20" customHeight="1">
      <c r="A32" s="4">
        <f>T27</f>
        <v/>
      </c>
      <c r="B32" s="6">
        <f>U27</f>
        <v/>
      </c>
      <c r="C32" s="5">
        <f>C17</f>
        <v/>
      </c>
      <c r="D32" s="23" t="inlineStr">
        <is>
          <t>Re-ins</t>
        </is>
      </c>
      <c r="E32" s="21" t="inlineStr">
        <is>
          <t>VH</t>
        </is>
      </c>
    </row>
    <row r="33" ht="20" customHeight="1">
      <c r="A33" s="8">
        <f>X25</f>
        <v/>
      </c>
      <c r="B33" s="10">
        <f>Y25</f>
        <v/>
      </c>
      <c r="C33" s="9">
        <f>C18</f>
        <v/>
      </c>
      <c r="D33" s="23" t="inlineStr">
        <is>
          <t>Re-ins</t>
        </is>
      </c>
      <c r="E33" s="22" t="inlineStr">
        <is>
          <t>VH</t>
        </is>
      </c>
    </row>
    <row r="34" ht="24" customHeight="1">
      <c r="A34" s="4">
        <f>X26</f>
        <v/>
      </c>
      <c r="B34" s="6">
        <f>Y26</f>
        <v/>
      </c>
      <c r="C34" s="5">
        <f>C19</f>
        <v/>
      </c>
      <c r="D34" s="23" t="inlineStr">
        <is>
          <t>Re-ins</t>
        </is>
      </c>
      <c r="E34" s="21" t="inlineStr">
        <is>
          <t>VH</t>
        </is>
      </c>
      <c r="G34" s="2" t="inlineStr">
        <is>
          <t>FACTORY VH2 — HFPA TOP DEFECTS PER MODEL</t>
        </is>
      </c>
    </row>
    <row r="35" ht="20" customHeight="1">
      <c r="A35" s="8">
        <f>X27</f>
        <v/>
      </c>
      <c r="B35" s="10">
        <f>Y27</f>
        <v/>
      </c>
      <c r="C35" s="9">
        <f>C20</f>
        <v/>
      </c>
      <c r="D35" s="23" t="inlineStr">
        <is>
          <t>Re-ins</t>
        </is>
      </c>
      <c r="E35" s="22" t="inlineStr">
        <is>
          <t>VH</t>
        </is>
      </c>
    </row>
    <row r="36" ht="20" customHeight="1">
      <c r="A36" s="4">
        <f>H40</f>
        <v/>
      </c>
      <c r="B36" s="6">
        <f>I40</f>
        <v/>
      </c>
      <c r="C36" s="5">
        <f>G37</f>
        <v/>
      </c>
      <c r="D36" s="20" t="inlineStr">
        <is>
          <t>HFPA</t>
        </is>
      </c>
      <c r="E36" s="21" t="inlineStr">
        <is>
          <t>VH2</t>
        </is>
      </c>
      <c r="G36" s="3" t="inlineStr">
        <is>
          <t>Model Name</t>
        </is>
      </c>
      <c r="H36" s="3" t="inlineStr">
        <is>
          <t>Defect Issue</t>
        </is>
      </c>
      <c r="I36" s="3" t="inlineStr">
        <is>
          <t>Total Qty</t>
        </is>
      </c>
      <c r="K36" s="3" t="inlineStr">
        <is>
          <t>Model Name</t>
        </is>
      </c>
      <c r="L36" s="3" t="inlineStr">
        <is>
          <t>Defect Issue</t>
        </is>
      </c>
      <c r="M36" s="3" t="inlineStr">
        <is>
          <t>Total Qty</t>
        </is>
      </c>
      <c r="O36" s="3" t="inlineStr">
        <is>
          <t>Model Name</t>
        </is>
      </c>
      <c r="P36" s="3" t="inlineStr">
        <is>
          <t>Defect Issue</t>
        </is>
      </c>
      <c r="Q36" s="3" t="inlineStr">
        <is>
          <t>Total Qty</t>
        </is>
      </c>
      <c r="S36" s="3" t="inlineStr">
        <is>
          <t>Model Name</t>
        </is>
      </c>
      <c r="T36" s="3" t="inlineStr">
        <is>
          <t>Defect Issue</t>
        </is>
      </c>
      <c r="U36" s="3" t="inlineStr">
        <is>
          <t>Total Qty</t>
        </is>
      </c>
      <c r="W36" s="3" t="inlineStr">
        <is>
          <t>Model Name</t>
        </is>
      </c>
      <c r="X36" s="3" t="inlineStr">
        <is>
          <t>Defect Issue</t>
        </is>
      </c>
      <c r="Y36" s="3" t="inlineStr">
        <is>
          <t>Total Qty</t>
        </is>
      </c>
    </row>
    <row r="37" ht="20" customHeight="1">
      <c r="A37" s="8">
        <f>H41</f>
        <v/>
      </c>
      <c r="B37" s="10">
        <f>I41</f>
        <v/>
      </c>
      <c r="C37" s="9">
        <f>G38</f>
        <v/>
      </c>
      <c r="D37" s="20" t="inlineStr">
        <is>
          <t>HFPA</t>
        </is>
      </c>
      <c r="E37" s="22" t="inlineStr">
        <is>
          <t>VH2</t>
        </is>
      </c>
      <c r="G37" s="4" t="inlineStr">
        <is>
          <t>NIKE AIR MAX EXCEE (MS/WS)</t>
        </is>
      </c>
      <c r="H37" s="5" t="inlineStr">
        <is>
          <t>Sum of Others</t>
        </is>
      </c>
      <c r="I37" s="6" t="n">
        <v>14</v>
      </c>
      <c r="K37" s="4" t="inlineStr">
        <is>
          <t>NIKE AIR WINFLO 12 GTX (MS/WS)</t>
        </is>
      </c>
      <c r="L37" s="5" t="inlineStr">
        <is>
          <t>Sum of Over cement</t>
        </is>
      </c>
      <c r="M37" s="6" t="n">
        <v>12</v>
      </c>
      <c r="O37" s="4" t="inlineStr">
        <is>
          <t>NIKE INITIATOR (MS/WS)</t>
        </is>
      </c>
      <c r="P37" s="5" t="inlineStr">
        <is>
          <t>Sum of Midsole/Outsole to upper bond gap</t>
        </is>
      </c>
      <c r="Q37" s="6" t="n">
        <v>7</v>
      </c>
      <c r="S37" s="4" t="inlineStr">
        <is>
          <t>NIKE RUN DEFY (MS/WS)</t>
        </is>
      </c>
      <c r="T37" s="5" t="inlineStr">
        <is>
          <t>Sum of Midsole/Outsole to upper bond gap</t>
        </is>
      </c>
      <c r="U37" s="6" t="n">
        <v>16</v>
      </c>
      <c r="W37" s="4" t="inlineStr">
        <is>
          <t>NIKE UPLIFT SC (MS/WS)</t>
        </is>
      </c>
      <c r="X37" s="5" t="inlineStr">
        <is>
          <t>Sum of Over cement</t>
        </is>
      </c>
      <c r="Y37" s="6" t="n">
        <v>6</v>
      </c>
    </row>
    <row r="38" ht="20" customHeight="1">
      <c r="A38" s="4">
        <f>H42</f>
        <v/>
      </c>
      <c r="B38" s="6">
        <f>I42</f>
        <v/>
      </c>
      <c r="C38" s="5">
        <f>G39</f>
        <v/>
      </c>
      <c r="D38" s="20" t="inlineStr">
        <is>
          <t>HFPA</t>
        </is>
      </c>
      <c r="E38" s="21" t="inlineStr">
        <is>
          <t>VH2</t>
        </is>
      </c>
      <c r="G38" s="4" t="inlineStr">
        <is>
          <t>NIKE AIR MAX EXCEE (MS/WS)</t>
        </is>
      </c>
      <c r="H38" s="5" t="inlineStr">
        <is>
          <t>Sum of Midsole/Outsole to upper bond gap</t>
        </is>
      </c>
      <c r="I38" s="6" t="n">
        <v>11</v>
      </c>
      <c r="K38" s="4" t="inlineStr">
        <is>
          <t>NIKE AIR WINFLO 12 GTX (MS/WS)</t>
        </is>
      </c>
      <c r="L38" s="5" t="inlineStr">
        <is>
          <t>Sum of Cleanness</t>
        </is>
      </c>
      <c r="M38" s="6" t="n">
        <v>6</v>
      </c>
      <c r="O38" s="4" t="inlineStr">
        <is>
          <t>NIKE INITIATOR (MS/WS)</t>
        </is>
      </c>
      <c r="P38" s="5" t="inlineStr">
        <is>
          <t>Sum of Thread end</t>
        </is>
      </c>
      <c r="Q38" s="6" t="n">
        <v>5</v>
      </c>
      <c r="S38" s="4" t="inlineStr">
        <is>
          <t>NIKE RUN DEFY (MS/WS)</t>
        </is>
      </c>
      <c r="T38" s="5" t="inlineStr">
        <is>
          <t>Sum of Wrinkle collar lining</t>
        </is>
      </c>
      <c r="U38" s="6" t="n">
        <v>9</v>
      </c>
      <c r="W38" s="4" t="inlineStr">
        <is>
          <t>NIKE UPLIFT SC (MS/WS)</t>
        </is>
      </c>
      <c r="X38" s="5" t="inlineStr">
        <is>
          <t>Sum of Cleanness</t>
        </is>
      </c>
      <c r="Y38" s="6" t="n">
        <v>5</v>
      </c>
    </row>
    <row r="39" ht="20" customHeight="1">
      <c r="A39" s="8">
        <f>L40</f>
        <v/>
      </c>
      <c r="B39" s="10">
        <f>M40</f>
        <v/>
      </c>
      <c r="C39" s="9">
        <f>K37</f>
        <v/>
      </c>
      <c r="D39" s="20" t="inlineStr">
        <is>
          <t>HFPA</t>
        </is>
      </c>
      <c r="E39" s="22" t="inlineStr">
        <is>
          <t>VH2</t>
        </is>
      </c>
      <c r="G39" s="4" t="inlineStr">
        <is>
          <t>NIKE AIR MAX EXCEE (MS/WS)</t>
        </is>
      </c>
      <c r="H39" s="5" t="inlineStr">
        <is>
          <t>Sum of Over cement</t>
        </is>
      </c>
      <c r="I39" s="6" t="n">
        <v>5</v>
      </c>
      <c r="K39" s="4" t="inlineStr">
        <is>
          <t>NIKE AIR WINFLO 12 GTX (MS/WS)</t>
        </is>
      </c>
      <c r="L39" s="5" t="inlineStr">
        <is>
          <t>Sum of Bottom Cosmetic</t>
        </is>
      </c>
      <c r="M39" s="6" t="n">
        <v>3</v>
      </c>
      <c r="O39" s="4" t="inlineStr">
        <is>
          <t>NIKE INITIATOR (MS/WS)</t>
        </is>
      </c>
      <c r="P39" s="5" t="inlineStr">
        <is>
          <t>Sum of Cleanness</t>
        </is>
      </c>
      <c r="Q39" s="6" t="n">
        <v>3</v>
      </c>
      <c r="S39" s="4" t="inlineStr">
        <is>
          <t>NIKE RUN DEFY (MS/WS)</t>
        </is>
      </c>
      <c r="T39" s="5" t="inlineStr">
        <is>
          <t>Sum of Others</t>
        </is>
      </c>
      <c r="U39" s="6" t="n">
        <v>8</v>
      </c>
      <c r="W39" s="4" t="inlineStr">
        <is>
          <t>NIKE UPLIFT SC (MS/WS)</t>
        </is>
      </c>
      <c r="X39" s="5" t="inlineStr">
        <is>
          <t>Sum of Midsole/Outsole to upper bond gap</t>
        </is>
      </c>
      <c r="Y39" s="6" t="n">
        <v>5</v>
      </c>
    </row>
    <row r="40" ht="20" customHeight="1">
      <c r="A40" s="4">
        <f>L41</f>
        <v/>
      </c>
      <c r="B40" s="6">
        <f>M41</f>
        <v/>
      </c>
      <c r="C40" s="5">
        <f>K38</f>
        <v/>
      </c>
      <c r="D40" s="20" t="inlineStr">
        <is>
          <t>HFPA</t>
        </is>
      </c>
      <c r="E40" s="21" t="inlineStr">
        <is>
          <t>VH2</t>
        </is>
      </c>
      <c r="H40">
        <f>SUBSTITUTE(H37,"Sum of ","")</f>
        <v/>
      </c>
      <c r="I40">
        <f>I37</f>
        <v/>
      </c>
      <c r="L40">
        <f>SUBSTITUTE(L37,"Sum of ","")</f>
        <v/>
      </c>
      <c r="M40">
        <f>M37</f>
        <v/>
      </c>
      <c r="P40">
        <f>SUBSTITUTE(P37,"Sum of ","")</f>
        <v/>
      </c>
      <c r="Q40">
        <f>Q37</f>
        <v/>
      </c>
      <c r="T40">
        <f>SUBSTITUTE(T37,"Sum of ","")</f>
        <v/>
      </c>
      <c r="U40">
        <f>U37</f>
        <v/>
      </c>
      <c r="X40">
        <f>SUBSTITUTE(X37,"Sum of ","")</f>
        <v/>
      </c>
      <c r="Y40">
        <f>Y37</f>
        <v/>
      </c>
    </row>
    <row r="41" ht="20" customHeight="1">
      <c r="A41" s="8">
        <f>L42</f>
        <v/>
      </c>
      <c r="B41" s="10">
        <f>M42</f>
        <v/>
      </c>
      <c r="C41" s="9">
        <f>K39</f>
        <v/>
      </c>
      <c r="D41" s="20" t="inlineStr">
        <is>
          <t>HFPA</t>
        </is>
      </c>
      <c r="E41" s="22" t="inlineStr">
        <is>
          <t>VH2</t>
        </is>
      </c>
      <c r="H41">
        <f>SUBSTITUTE(H38,"Sum of ","")</f>
        <v/>
      </c>
      <c r="I41">
        <f>I38</f>
        <v/>
      </c>
      <c r="L41">
        <f>SUBSTITUTE(L38,"Sum of ","")</f>
        <v/>
      </c>
      <c r="M41">
        <f>M38</f>
        <v/>
      </c>
      <c r="P41">
        <f>SUBSTITUTE(P38,"Sum of ","")</f>
        <v/>
      </c>
      <c r="Q41">
        <f>Q38</f>
        <v/>
      </c>
      <c r="T41">
        <f>SUBSTITUTE(T38,"Sum of ","")</f>
        <v/>
      </c>
      <c r="U41">
        <f>U38</f>
        <v/>
      </c>
      <c r="X41">
        <f>SUBSTITUTE(X38,"Sum of ","")</f>
        <v/>
      </c>
      <c r="Y41">
        <f>Y38</f>
        <v/>
      </c>
    </row>
    <row r="42" ht="20" customHeight="1">
      <c r="A42" s="4">
        <f>P40</f>
        <v/>
      </c>
      <c r="B42" s="6">
        <f>Q40</f>
        <v/>
      </c>
      <c r="C42" s="5">
        <f>O37</f>
        <v/>
      </c>
      <c r="D42" s="20" t="inlineStr">
        <is>
          <t>HFPA</t>
        </is>
      </c>
      <c r="E42" s="21" t="inlineStr">
        <is>
          <t>VH2</t>
        </is>
      </c>
      <c r="H42">
        <f>SUBSTITUTE(H39,"Sum of ","")</f>
        <v/>
      </c>
      <c r="I42">
        <f>I39</f>
        <v/>
      </c>
      <c r="L42">
        <f>SUBSTITUTE(L39,"Sum of ","")</f>
        <v/>
      </c>
      <c r="M42">
        <f>M39</f>
        <v/>
      </c>
      <c r="P42">
        <f>SUBSTITUTE(P39,"Sum of ","")</f>
        <v/>
      </c>
      <c r="Q42">
        <f>Q39</f>
        <v/>
      </c>
      <c r="T42">
        <f>SUBSTITUTE(T39,"Sum of ","")</f>
        <v/>
      </c>
      <c r="U42">
        <f>U39</f>
        <v/>
      </c>
      <c r="X42">
        <f>SUBSTITUTE(X39,"Sum of ","")</f>
        <v/>
      </c>
      <c r="Y42">
        <f>Y39</f>
        <v/>
      </c>
    </row>
    <row r="43" ht="20" customHeight="1">
      <c r="A43" s="8">
        <f>P41</f>
        <v/>
      </c>
      <c r="B43" s="10">
        <f>Q41</f>
        <v/>
      </c>
      <c r="C43" s="9">
        <f>O38</f>
        <v/>
      </c>
      <c r="D43" s="20" t="inlineStr">
        <is>
          <t>HFPA</t>
        </is>
      </c>
      <c r="E43" s="22" t="inlineStr">
        <is>
          <t>VH2</t>
        </is>
      </c>
    </row>
    <row r="44" ht="20" customHeight="1">
      <c r="A44" s="4">
        <f>P42</f>
        <v/>
      </c>
      <c r="B44" s="6">
        <f>Q42</f>
        <v/>
      </c>
      <c r="C44" s="5">
        <f>O39</f>
        <v/>
      </c>
      <c r="D44" s="20" t="inlineStr">
        <is>
          <t>HFPA</t>
        </is>
      </c>
      <c r="E44" s="21" t="inlineStr">
        <is>
          <t>VH2</t>
        </is>
      </c>
    </row>
    <row r="45" ht="20" customHeight="1">
      <c r="A45" s="8">
        <f>T40</f>
        <v/>
      </c>
      <c r="B45" s="10">
        <f>U40</f>
        <v/>
      </c>
      <c r="C45" s="9">
        <f>S37</f>
        <v/>
      </c>
      <c r="D45" s="20" t="inlineStr">
        <is>
          <t>HFPA</t>
        </is>
      </c>
      <c r="E45" s="22" t="inlineStr">
        <is>
          <t>VH2</t>
        </is>
      </c>
    </row>
    <row r="46" ht="20" customHeight="1">
      <c r="A46" s="4">
        <f>T41</f>
        <v/>
      </c>
      <c r="B46" s="6">
        <f>U41</f>
        <v/>
      </c>
      <c r="C46" s="5">
        <f>S38</f>
        <v/>
      </c>
      <c r="D46" s="20" t="inlineStr">
        <is>
          <t>HFPA</t>
        </is>
      </c>
      <c r="E46" s="21" t="inlineStr">
        <is>
          <t>VH2</t>
        </is>
      </c>
    </row>
    <row r="47" ht="20" customHeight="1">
      <c r="A47" s="8">
        <f>T42</f>
        <v/>
      </c>
      <c r="B47" s="10">
        <f>U42</f>
        <v/>
      </c>
      <c r="C47" s="9">
        <f>S39</f>
        <v/>
      </c>
      <c r="D47" s="20" t="inlineStr">
        <is>
          <t>HFPA</t>
        </is>
      </c>
      <c r="E47" s="22" t="inlineStr">
        <is>
          <t>VH2</t>
        </is>
      </c>
    </row>
    <row r="48" ht="20" customHeight="1">
      <c r="A48" s="4">
        <f>X40</f>
        <v/>
      </c>
      <c r="B48" s="6">
        <f>Y40</f>
        <v/>
      </c>
      <c r="C48" s="5">
        <f>W37</f>
        <v/>
      </c>
      <c r="D48" s="20" t="inlineStr">
        <is>
          <t>HFPA</t>
        </is>
      </c>
      <c r="E48" s="21" t="inlineStr">
        <is>
          <t>VH2</t>
        </is>
      </c>
    </row>
    <row r="49" ht="24" customHeight="1">
      <c r="A49" s="8">
        <f>X41</f>
        <v/>
      </c>
      <c r="B49" s="10">
        <f>Y41</f>
        <v/>
      </c>
      <c r="C49" s="9">
        <f>W38</f>
        <v/>
      </c>
      <c r="D49" s="20" t="inlineStr">
        <is>
          <t>HFPA</t>
        </is>
      </c>
      <c r="E49" s="22" t="inlineStr">
        <is>
          <t>VH2</t>
        </is>
      </c>
      <c r="G49" s="2" t="inlineStr">
        <is>
          <t>FACTORY VH2 — RE-INSPECTION (RE-AUDIT - MA)</t>
        </is>
      </c>
    </row>
    <row r="50" ht="20" customHeight="1">
      <c r="A50" s="4">
        <f>X42</f>
        <v/>
      </c>
      <c r="B50" s="6">
        <f>Y42</f>
        <v/>
      </c>
      <c r="C50" s="5">
        <f>W39</f>
        <v/>
      </c>
      <c r="D50" s="20" t="inlineStr">
        <is>
          <t>HFPA</t>
        </is>
      </c>
      <c r="E50" s="21" t="inlineStr">
        <is>
          <t>VH2</t>
        </is>
      </c>
    </row>
    <row r="51" ht="20" customHeight="1">
      <c r="A51" s="8">
        <f>H55</f>
        <v/>
      </c>
      <c r="B51" s="10">
        <f>I55</f>
        <v/>
      </c>
      <c r="C51" s="9">
        <f>C36</f>
        <v/>
      </c>
      <c r="D51" s="23" t="inlineStr">
        <is>
          <t>Re-ins</t>
        </is>
      </c>
      <c r="E51" s="22" t="inlineStr">
        <is>
          <t>VH2</t>
        </is>
      </c>
      <c r="G51" s="3" t="inlineStr">
        <is>
          <t>Model Name</t>
        </is>
      </c>
      <c r="H51" s="3" t="inlineStr">
        <is>
          <t>Defect Issue</t>
        </is>
      </c>
      <c r="I51" s="3" t="inlineStr">
        <is>
          <t>Defect Qty</t>
        </is>
      </c>
      <c r="K51" s="3" t="inlineStr">
        <is>
          <t>Model Name</t>
        </is>
      </c>
      <c r="L51" s="3" t="inlineStr">
        <is>
          <t>Defect Issue</t>
        </is>
      </c>
      <c r="M51" s="3" t="inlineStr">
        <is>
          <t>Defect Qty</t>
        </is>
      </c>
      <c r="O51" s="3" t="inlineStr">
        <is>
          <t>Model Name</t>
        </is>
      </c>
      <c r="P51" s="3" t="inlineStr">
        <is>
          <t>Defect Issue</t>
        </is>
      </c>
      <c r="Q51" s="3" t="inlineStr">
        <is>
          <t>Defect Qty</t>
        </is>
      </c>
      <c r="S51" s="3" t="inlineStr">
        <is>
          <t>Model Name</t>
        </is>
      </c>
      <c r="T51" s="3" t="inlineStr">
        <is>
          <t>Defect Issue</t>
        </is>
      </c>
      <c r="U51" s="3" t="inlineStr">
        <is>
          <t>Defect Qty</t>
        </is>
      </c>
      <c r="W51" s="3" t="inlineStr">
        <is>
          <t>Model Name</t>
        </is>
      </c>
      <c r="X51" s="3" t="inlineStr">
        <is>
          <t>Defect Issue</t>
        </is>
      </c>
      <c r="Y51" s="3" t="inlineStr">
        <is>
          <t>Defect Qty</t>
        </is>
      </c>
    </row>
    <row r="52" ht="20" customHeight="1">
      <c r="A52" s="4">
        <f>H56</f>
        <v/>
      </c>
      <c r="B52" s="6">
        <f>I56</f>
        <v/>
      </c>
      <c r="C52" s="5">
        <f>C37</f>
        <v/>
      </c>
      <c r="D52" s="23" t="inlineStr">
        <is>
          <t>Re-ins</t>
        </is>
      </c>
      <c r="E52" s="21" t="inlineStr">
        <is>
          <t>VH2</t>
        </is>
      </c>
      <c r="G52" s="4" t="inlineStr">
        <is>
          <t>NIKE AIR MAX EXCEE (MS/WS)</t>
        </is>
      </c>
      <c r="H52" s="5" t="inlineStr">
        <is>
          <t>Sum of Thread end</t>
        </is>
      </c>
      <c r="I52" s="6" t="n">
        <v>3</v>
      </c>
      <c r="K52" s="4" t="inlineStr">
        <is>
          <t>NIKE AIR WINFLO 12 GTX (MS/WS)</t>
        </is>
      </c>
      <c r="L52" s="5" t="inlineStr">
        <is>
          <t>Sum of Thread end</t>
        </is>
      </c>
      <c r="M52" s="6" t="n">
        <v>2</v>
      </c>
      <c r="O52" s="4" t="inlineStr">
        <is>
          <t>NIKE INITIATOR (MS/WS)</t>
        </is>
      </c>
      <c r="P52" s="5" t="inlineStr">
        <is>
          <t>Sum of Cleanness</t>
        </is>
      </c>
      <c r="Q52" s="6" t="n">
        <v>2</v>
      </c>
      <c r="S52" s="4" t="inlineStr">
        <is>
          <t>NIKE RUN DEFY (MS/WS)</t>
        </is>
      </c>
      <c r="T52" s="5" t="inlineStr">
        <is>
          <t>Sum of Cleanness</t>
        </is>
      </c>
      <c r="U52" s="6" t="n">
        <v>2</v>
      </c>
      <c r="W52" s="4" t="inlineStr">
        <is>
          <t>NIKE UPLIFT SC (MS/WS)</t>
        </is>
      </c>
      <c r="X52" s="5" t="inlineStr">
        <is>
          <t>Sum of Cleanness</t>
        </is>
      </c>
      <c r="Y52" s="6" t="n">
        <v>1</v>
      </c>
    </row>
    <row r="53" ht="20" customHeight="1">
      <c r="A53" s="8">
        <f>H57</f>
        <v/>
      </c>
      <c r="B53" s="10">
        <f>I57</f>
        <v/>
      </c>
      <c r="C53" s="9">
        <f>C38</f>
        <v/>
      </c>
      <c r="D53" s="23" t="inlineStr">
        <is>
          <t>Re-ins</t>
        </is>
      </c>
      <c r="E53" s="22" t="inlineStr">
        <is>
          <t>VH2</t>
        </is>
      </c>
      <c r="G53" s="4" t="inlineStr">
        <is>
          <t>NIKE AIR MAX EXCEE (MS/WS)</t>
        </is>
      </c>
      <c r="H53" s="5" t="inlineStr">
        <is>
          <t>Sum of Cleanness</t>
        </is>
      </c>
      <c r="I53" s="6" t="n">
        <v>1</v>
      </c>
      <c r="K53" s="4" t="inlineStr">
        <is>
          <t>NIKE AIR WINFLO 12 GTX (MS/WS)</t>
        </is>
      </c>
      <c r="L53" s="5" t="inlineStr">
        <is>
          <t>Sum of Cleanness</t>
        </is>
      </c>
      <c r="M53" s="6" t="n">
        <v>1</v>
      </c>
      <c r="O53" s="24" t="n"/>
      <c r="P53" s="24" t="n"/>
      <c r="Q53" s="24" t="n"/>
      <c r="S53" s="4" t="inlineStr">
        <is>
          <t>NIKE RUN DEFY (MS/WS)</t>
        </is>
      </c>
      <c r="T53" s="5" t="inlineStr">
        <is>
          <t>Sum of Thread end</t>
        </is>
      </c>
      <c r="U53" s="6" t="n">
        <v>1</v>
      </c>
      <c r="W53" s="4" t="inlineStr">
        <is>
          <t>NIKE UPLIFT SC (MS/WS)</t>
        </is>
      </c>
      <c r="X53" s="5" t="inlineStr">
        <is>
          <t>Sum of Over cement</t>
        </is>
      </c>
      <c r="Y53" s="6" t="n">
        <v>1</v>
      </c>
    </row>
    <row r="54" ht="20" customHeight="1">
      <c r="A54" s="4">
        <f>L55</f>
        <v/>
      </c>
      <c r="B54" s="6">
        <f>M55</f>
        <v/>
      </c>
      <c r="C54" s="5">
        <f>C39</f>
        <v/>
      </c>
      <c r="D54" s="23" t="inlineStr">
        <is>
          <t>Re-ins</t>
        </is>
      </c>
      <c r="E54" s="21" t="inlineStr">
        <is>
          <t>VH2</t>
        </is>
      </c>
      <c r="G54" s="24" t="n"/>
      <c r="H54" s="24" t="n"/>
      <c r="I54" s="24" t="n"/>
      <c r="K54" s="24" t="n"/>
      <c r="L54" s="24" t="n"/>
      <c r="M54" s="24" t="n"/>
      <c r="O54" s="24" t="n"/>
      <c r="P54" s="24" t="n"/>
      <c r="Q54" s="24" t="n"/>
      <c r="S54" s="4" t="inlineStr">
        <is>
          <t>NIKE RUN DEFY (MS/WS)</t>
        </is>
      </c>
      <c r="T54" s="5" t="inlineStr">
        <is>
          <t>Sum of Wrinkle bottom</t>
        </is>
      </c>
      <c r="U54" s="6" t="n">
        <v>1</v>
      </c>
      <c r="W54" s="4" t="inlineStr">
        <is>
          <t>NIKE UPLIFT SC (MS/WS)</t>
        </is>
      </c>
      <c r="X54" s="5" t="inlineStr">
        <is>
          <t>Sum of Wrinkle bottom</t>
        </is>
      </c>
      <c r="Y54" s="6" t="n">
        <v>1</v>
      </c>
    </row>
    <row r="55" ht="20" customHeight="1">
      <c r="A55" s="8">
        <f>L56</f>
        <v/>
      </c>
      <c r="B55" s="10">
        <f>M56</f>
        <v/>
      </c>
      <c r="C55" s="9">
        <f>C40</f>
        <v/>
      </c>
      <c r="D55" s="23" t="inlineStr">
        <is>
          <t>Re-ins</t>
        </is>
      </c>
      <c r="E55" s="22" t="inlineStr">
        <is>
          <t>VH2</t>
        </is>
      </c>
      <c r="H55">
        <f>SUBSTITUTE(H52,"Sum of ","")</f>
        <v/>
      </c>
      <c r="I55">
        <f>I52</f>
        <v/>
      </c>
      <c r="L55">
        <f>SUBSTITUTE(L52,"Sum of ","")</f>
        <v/>
      </c>
      <c r="M55">
        <f>M52</f>
        <v/>
      </c>
      <c r="P55">
        <f>SUBSTITUTE(P52,"Sum of ","")</f>
        <v/>
      </c>
      <c r="Q55">
        <f>Q52</f>
        <v/>
      </c>
      <c r="T55">
        <f>SUBSTITUTE(T52,"Sum of ","")</f>
        <v/>
      </c>
      <c r="U55">
        <f>U52</f>
        <v/>
      </c>
      <c r="X55">
        <f>SUBSTITUTE(X52,"Sum of ","")</f>
        <v/>
      </c>
      <c r="Y55">
        <f>Y52</f>
        <v/>
      </c>
    </row>
    <row r="56" ht="20" customHeight="1">
      <c r="A56" s="4">
        <f>L57</f>
        <v/>
      </c>
      <c r="B56" s="6">
        <f>M57</f>
        <v/>
      </c>
      <c r="C56" s="5">
        <f>C41</f>
        <v/>
      </c>
      <c r="D56" s="23" t="inlineStr">
        <is>
          <t>Re-ins</t>
        </is>
      </c>
      <c r="E56" s="21" t="inlineStr">
        <is>
          <t>VH2</t>
        </is>
      </c>
      <c r="H56">
        <f>SUBSTITUTE(H53,"Sum of ","")</f>
        <v/>
      </c>
      <c r="I56">
        <f>I53</f>
        <v/>
      </c>
      <c r="L56">
        <f>SUBSTITUTE(L53,"Sum of ","")</f>
        <v/>
      </c>
      <c r="M56">
        <f>M53</f>
        <v/>
      </c>
      <c r="P56">
        <f>SUBSTITUTE(P53,"Sum of ","")</f>
        <v/>
      </c>
      <c r="Q56">
        <f>Q53</f>
        <v/>
      </c>
      <c r="T56">
        <f>SUBSTITUTE(T53,"Sum of ","")</f>
        <v/>
      </c>
      <c r="U56">
        <f>U53</f>
        <v/>
      </c>
      <c r="X56">
        <f>SUBSTITUTE(X53,"Sum of ","")</f>
        <v/>
      </c>
      <c r="Y56">
        <f>Y53</f>
        <v/>
      </c>
    </row>
    <row r="57" ht="20" customHeight="1">
      <c r="A57" s="8">
        <f>P55</f>
        <v/>
      </c>
      <c r="B57" s="10">
        <f>Q55</f>
        <v/>
      </c>
      <c r="C57" s="9">
        <f>C42</f>
        <v/>
      </c>
      <c r="D57" s="23" t="inlineStr">
        <is>
          <t>Re-ins</t>
        </is>
      </c>
      <c r="E57" s="22" t="inlineStr">
        <is>
          <t>VH2</t>
        </is>
      </c>
      <c r="H57">
        <f>SUBSTITUTE(H54,"Sum of ","")</f>
        <v/>
      </c>
      <c r="I57">
        <f>I54</f>
        <v/>
      </c>
      <c r="L57">
        <f>SUBSTITUTE(L54,"Sum of ","")</f>
        <v/>
      </c>
      <c r="M57">
        <f>M54</f>
        <v/>
      </c>
      <c r="P57">
        <f>SUBSTITUTE(P54,"Sum of ","")</f>
        <v/>
      </c>
      <c r="Q57">
        <f>Q54</f>
        <v/>
      </c>
      <c r="T57">
        <f>SUBSTITUTE(T54,"Sum of ","")</f>
        <v/>
      </c>
      <c r="U57">
        <f>U54</f>
        <v/>
      </c>
      <c r="X57">
        <f>SUBSTITUTE(X54,"Sum of ","")</f>
        <v/>
      </c>
      <c r="Y57">
        <f>Y54</f>
        <v/>
      </c>
    </row>
    <row r="58" ht="20" customHeight="1">
      <c r="A58" s="4">
        <f>P56</f>
        <v/>
      </c>
      <c r="B58" s="6">
        <f>Q56</f>
        <v/>
      </c>
      <c r="C58" s="5">
        <f>C43</f>
        <v/>
      </c>
      <c r="D58" s="23" t="inlineStr">
        <is>
          <t>Re-ins</t>
        </is>
      </c>
      <c r="E58" s="21" t="inlineStr">
        <is>
          <t>VH2</t>
        </is>
      </c>
    </row>
    <row r="59" ht="20" customHeight="1">
      <c r="A59" s="8">
        <f>P57</f>
        <v/>
      </c>
      <c r="B59" s="10">
        <f>Q57</f>
        <v/>
      </c>
      <c r="C59" s="9">
        <f>C44</f>
        <v/>
      </c>
      <c r="D59" s="23" t="inlineStr">
        <is>
          <t>Re-ins</t>
        </is>
      </c>
      <c r="E59" s="22" t="inlineStr">
        <is>
          <t>VH2</t>
        </is>
      </c>
    </row>
    <row r="60" ht="20" customHeight="1">
      <c r="A60" s="4">
        <f>T55</f>
        <v/>
      </c>
      <c r="B60" s="6">
        <f>U55</f>
        <v/>
      </c>
      <c r="C60" s="5">
        <f>C45</f>
        <v/>
      </c>
      <c r="D60" s="23" t="inlineStr">
        <is>
          <t>Re-ins</t>
        </is>
      </c>
      <c r="E60" s="21" t="inlineStr">
        <is>
          <t>VH2</t>
        </is>
      </c>
    </row>
    <row r="61" ht="20" customHeight="1">
      <c r="A61" s="8">
        <f>T56</f>
        <v/>
      </c>
      <c r="B61" s="10">
        <f>U56</f>
        <v/>
      </c>
      <c r="C61" s="9">
        <f>C46</f>
        <v/>
      </c>
      <c r="D61" s="23" t="inlineStr">
        <is>
          <t>Re-ins</t>
        </is>
      </c>
      <c r="E61" s="22" t="inlineStr">
        <is>
          <t>VH2</t>
        </is>
      </c>
    </row>
    <row r="62" ht="20" customHeight="1">
      <c r="A62" s="4">
        <f>T57</f>
        <v/>
      </c>
      <c r="B62" s="6">
        <f>U57</f>
        <v/>
      </c>
      <c r="C62" s="5">
        <f>C47</f>
        <v/>
      </c>
      <c r="D62" s="23" t="inlineStr">
        <is>
          <t>Re-ins</t>
        </is>
      </c>
      <c r="E62" s="21" t="inlineStr">
        <is>
          <t>VH2</t>
        </is>
      </c>
    </row>
    <row r="63" ht="20" customHeight="1">
      <c r="A63" s="8">
        <f>X55</f>
        <v/>
      </c>
      <c r="B63" s="10">
        <f>Y55</f>
        <v/>
      </c>
      <c r="C63" s="9">
        <f>C48</f>
        <v/>
      </c>
      <c r="D63" s="23" t="inlineStr">
        <is>
          <t>Re-ins</t>
        </is>
      </c>
      <c r="E63" s="22" t="inlineStr">
        <is>
          <t>VH2</t>
        </is>
      </c>
    </row>
    <row r="64" ht="24" customHeight="1">
      <c r="A64" s="4">
        <f>X56</f>
        <v/>
      </c>
      <c r="B64" s="6">
        <f>Y56</f>
        <v/>
      </c>
      <c r="C64" s="5">
        <f>C49</f>
        <v/>
      </c>
      <c r="D64" s="23" t="inlineStr">
        <is>
          <t>Re-ins</t>
        </is>
      </c>
      <c r="E64" s="21" t="inlineStr">
        <is>
          <t>VH2</t>
        </is>
      </c>
      <c r="G64" s="2" t="inlineStr">
        <is>
          <t>FACTORY JV — HFPA TOP DEFECTS PER MODEL</t>
        </is>
      </c>
    </row>
    <row r="65" ht="20" customHeight="1">
      <c r="A65" s="8">
        <f>X57</f>
        <v/>
      </c>
      <c r="B65" s="10">
        <f>Y57</f>
        <v/>
      </c>
      <c r="C65" s="9">
        <f>C50</f>
        <v/>
      </c>
      <c r="D65" s="23" t="inlineStr">
        <is>
          <t>Re-ins</t>
        </is>
      </c>
      <c r="E65" s="22" t="inlineStr">
        <is>
          <t>VH2</t>
        </is>
      </c>
    </row>
    <row r="66" ht="20" customHeight="1">
      <c r="A66" s="4">
        <f>H70</f>
        <v/>
      </c>
      <c r="B66" s="6">
        <f>I70</f>
        <v/>
      </c>
      <c r="C66" s="5">
        <f>G67</f>
        <v/>
      </c>
      <c r="D66" s="20" t="inlineStr">
        <is>
          <t>HFPA</t>
        </is>
      </c>
      <c r="E66" s="21" t="inlineStr">
        <is>
          <t>JV</t>
        </is>
      </c>
      <c r="G66" s="3" t="inlineStr">
        <is>
          <t>Model Name</t>
        </is>
      </c>
      <c r="H66" s="3" t="inlineStr">
        <is>
          <t>Defect Issue</t>
        </is>
      </c>
      <c r="I66" s="3" t="inlineStr">
        <is>
          <t>Total Qty</t>
        </is>
      </c>
      <c r="K66" s="3" t="inlineStr">
        <is>
          <t>Model Name</t>
        </is>
      </c>
      <c r="L66" s="3" t="inlineStr">
        <is>
          <t>Defect Issue</t>
        </is>
      </c>
      <c r="M66" s="3" t="inlineStr">
        <is>
          <t>Total Qty</t>
        </is>
      </c>
      <c r="O66" s="3" t="inlineStr">
        <is>
          <t>Model Name</t>
        </is>
      </c>
      <c r="P66" s="3" t="inlineStr">
        <is>
          <t>Defect Issue</t>
        </is>
      </c>
      <c r="Q66" s="3" t="inlineStr">
        <is>
          <t>Total Qty</t>
        </is>
      </c>
      <c r="S66" s="3" t="inlineStr">
        <is>
          <t>Model Name</t>
        </is>
      </c>
      <c r="T66" s="3" t="inlineStr">
        <is>
          <t>Defect Issue</t>
        </is>
      </c>
      <c r="U66" s="3" t="inlineStr">
        <is>
          <t>Total Qty</t>
        </is>
      </c>
      <c r="W66" s="3" t="inlineStr">
        <is>
          <t>Model Name</t>
        </is>
      </c>
      <c r="X66" s="3" t="inlineStr">
        <is>
          <t>Defect Issue</t>
        </is>
      </c>
      <c r="Y66" s="3" t="inlineStr">
        <is>
          <t>Total Qty</t>
        </is>
      </c>
    </row>
    <row r="67" ht="20" customHeight="1">
      <c r="A67" s="8">
        <f>H71</f>
        <v/>
      </c>
      <c r="B67" s="10">
        <f>I71</f>
        <v/>
      </c>
      <c r="C67" s="9">
        <f>G68</f>
        <v/>
      </c>
      <c r="D67" s="20" t="inlineStr">
        <is>
          <t>HFPA</t>
        </is>
      </c>
      <c r="E67" s="22" t="inlineStr">
        <is>
          <t>JV</t>
        </is>
      </c>
      <c r="G67" s="4" t="inlineStr">
        <is>
          <t>NIKE AIR MAX MOTION 2 (MS/WS)</t>
        </is>
      </c>
      <c r="H67" s="5" t="inlineStr">
        <is>
          <t>Sum of Paint peeled off</t>
        </is>
      </c>
      <c r="I67" s="6" t="n">
        <v>14</v>
      </c>
      <c r="K67" s="4" t="inlineStr">
        <is>
          <t>NIKE AIR MAX SC (MS/WS)</t>
        </is>
      </c>
      <c r="L67" s="5" t="inlineStr">
        <is>
          <t>Sum of Midsole/Outsole to upper bond gap</t>
        </is>
      </c>
      <c r="M67" s="6" t="n">
        <v>14</v>
      </c>
      <c r="O67" s="4" t="inlineStr">
        <is>
          <t>NIKE COURT BOROUGH MID (PSV)</t>
        </is>
      </c>
      <c r="P67" s="5" t="inlineStr">
        <is>
          <t>Sum of Midsole/Outsole to upper bond gap</t>
        </is>
      </c>
      <c r="Q67" s="6" t="n">
        <v>17</v>
      </c>
      <c r="S67" s="4" t="inlineStr">
        <is>
          <t>NIKE EBERNON LOW (MS/WS)</t>
        </is>
      </c>
      <c r="T67" s="5" t="inlineStr">
        <is>
          <t>Sum of Midsole/Outsole to upper bond gap</t>
        </is>
      </c>
      <c r="U67" s="6" t="n">
        <v>41</v>
      </c>
      <c r="W67" s="4" t="inlineStr">
        <is>
          <t>NIKE INITIATOR (MS/WS)</t>
        </is>
      </c>
      <c r="X67" s="5" t="inlineStr">
        <is>
          <t>Sum of Midsole/Outsole to upper bond gap</t>
        </is>
      </c>
      <c r="Y67" s="6" t="n">
        <v>21</v>
      </c>
    </row>
    <row r="68" ht="20" customHeight="1">
      <c r="A68" s="4">
        <f>H72</f>
        <v/>
      </c>
      <c r="B68" s="6">
        <f>I72</f>
        <v/>
      </c>
      <c r="C68" s="5">
        <f>G69</f>
        <v/>
      </c>
      <c r="D68" s="20" t="inlineStr">
        <is>
          <t>HFPA</t>
        </is>
      </c>
      <c r="E68" s="21" t="inlineStr">
        <is>
          <t>JV</t>
        </is>
      </c>
      <c r="G68" s="4" t="inlineStr">
        <is>
          <t>NIKE AIR MAX MOTION 2 (MS/WS)</t>
        </is>
      </c>
      <c r="H68" s="5" t="inlineStr">
        <is>
          <t>Sum of Midsole/Outsole to upper bond gap</t>
        </is>
      </c>
      <c r="I68" s="6" t="n">
        <v>13</v>
      </c>
      <c r="K68" s="4" t="inlineStr">
        <is>
          <t>NIKE AIR MAX SC (MS/WS)</t>
        </is>
      </c>
      <c r="L68" s="5" t="inlineStr">
        <is>
          <t>Sum of Cleanness</t>
        </is>
      </c>
      <c r="M68" s="6" t="n">
        <v>12</v>
      </c>
      <c r="O68" s="4" t="inlineStr">
        <is>
          <t>NIKE COURT BOROUGH MID (PSV)</t>
        </is>
      </c>
      <c r="P68" s="5" t="inlineStr">
        <is>
          <t>Sum of Over cement</t>
        </is>
      </c>
      <c r="Q68" s="6" t="n">
        <v>15</v>
      </c>
      <c r="S68" s="4" t="inlineStr">
        <is>
          <t>NIKE EBERNON LOW (MS/WS)</t>
        </is>
      </c>
      <c r="T68" s="5" t="inlineStr">
        <is>
          <t>Sum of Cleanness</t>
        </is>
      </c>
      <c r="U68" s="6" t="n">
        <v>33</v>
      </c>
      <c r="W68" s="4" t="inlineStr">
        <is>
          <t>NIKE INITIATOR (MS/WS)</t>
        </is>
      </c>
      <c r="X68" s="5" t="inlineStr">
        <is>
          <t>Sum of Over cement</t>
        </is>
      </c>
      <c r="Y68" s="6" t="n">
        <v>11</v>
      </c>
    </row>
    <row r="69" ht="20" customHeight="1">
      <c r="A69" s="8">
        <f>L70</f>
        <v/>
      </c>
      <c r="B69" s="10">
        <f>M70</f>
        <v/>
      </c>
      <c r="C69" s="9">
        <f>K67</f>
        <v/>
      </c>
      <c r="D69" s="20" t="inlineStr">
        <is>
          <t>HFPA</t>
        </is>
      </c>
      <c r="E69" s="22" t="inlineStr">
        <is>
          <t>JV</t>
        </is>
      </c>
      <c r="G69" s="4" t="inlineStr">
        <is>
          <t>NIKE AIR MAX MOTION 2 (MS/WS)</t>
        </is>
      </c>
      <c r="H69" s="5" t="inlineStr">
        <is>
          <t>Sum of Thread end</t>
        </is>
      </c>
      <c r="I69" s="6" t="n">
        <v>10</v>
      </c>
      <c r="K69" s="4" t="inlineStr">
        <is>
          <t>NIKE AIR MAX SC (MS/WS)</t>
        </is>
      </c>
      <c r="L69" s="5" t="inlineStr">
        <is>
          <t>Sum of Over cement</t>
        </is>
      </c>
      <c r="M69" s="6" t="n">
        <v>12</v>
      </c>
      <c r="O69" s="4" t="inlineStr">
        <is>
          <t>NIKE COURT BOROUGH MID (PSV)</t>
        </is>
      </c>
      <c r="P69" s="5" t="inlineStr">
        <is>
          <t>Sum of Cleanness</t>
        </is>
      </c>
      <c r="Q69" s="6" t="n">
        <v>7</v>
      </c>
      <c r="S69" s="4" t="inlineStr">
        <is>
          <t>NIKE EBERNON LOW (MS/WS)</t>
        </is>
      </c>
      <c r="T69" s="5" t="inlineStr">
        <is>
          <t>Sum of Over cement</t>
        </is>
      </c>
      <c r="U69" s="6" t="n">
        <v>26</v>
      </c>
      <c r="W69" s="4" t="inlineStr">
        <is>
          <t>NIKE INITIATOR (MS/WS)</t>
        </is>
      </c>
      <c r="X69" s="5" t="inlineStr">
        <is>
          <t>Sum of Cleanness</t>
        </is>
      </c>
      <c r="Y69" s="6" t="n">
        <v>10</v>
      </c>
    </row>
    <row r="70" ht="20" customHeight="1">
      <c r="A70" s="4">
        <f>L71</f>
        <v/>
      </c>
      <c r="B70" s="6">
        <f>M71</f>
        <v/>
      </c>
      <c r="C70" s="5">
        <f>K68</f>
        <v/>
      </c>
      <c r="D70" s="20" t="inlineStr">
        <is>
          <t>HFPA</t>
        </is>
      </c>
      <c r="E70" s="21" t="inlineStr">
        <is>
          <t>JV</t>
        </is>
      </c>
      <c r="H70">
        <f>SUBSTITUTE(H67,"Sum of ","")</f>
        <v/>
      </c>
      <c r="I70">
        <f>I67</f>
        <v/>
      </c>
      <c r="L70">
        <f>SUBSTITUTE(L67,"Sum of ","")</f>
        <v/>
      </c>
      <c r="M70">
        <f>M67</f>
        <v/>
      </c>
      <c r="P70">
        <f>SUBSTITUTE(P67,"Sum of ","")</f>
        <v/>
      </c>
      <c r="Q70">
        <f>Q67</f>
        <v/>
      </c>
      <c r="T70">
        <f>SUBSTITUTE(T67,"Sum of ","")</f>
        <v/>
      </c>
      <c r="U70">
        <f>U67</f>
        <v/>
      </c>
      <c r="X70">
        <f>SUBSTITUTE(X67,"Sum of ","")</f>
        <v/>
      </c>
      <c r="Y70">
        <f>Y67</f>
        <v/>
      </c>
    </row>
    <row r="71" ht="20" customHeight="1">
      <c r="A71" s="8">
        <f>L72</f>
        <v/>
      </c>
      <c r="B71" s="10">
        <f>M72</f>
        <v/>
      </c>
      <c r="C71" s="9">
        <f>K69</f>
        <v/>
      </c>
      <c r="D71" s="20" t="inlineStr">
        <is>
          <t>HFPA</t>
        </is>
      </c>
      <c r="E71" s="22" t="inlineStr">
        <is>
          <t>JV</t>
        </is>
      </c>
      <c r="H71">
        <f>SUBSTITUTE(H68,"Sum of ","")</f>
        <v/>
      </c>
      <c r="I71">
        <f>I68</f>
        <v/>
      </c>
      <c r="L71">
        <f>SUBSTITUTE(L68,"Sum of ","")</f>
        <v/>
      </c>
      <c r="M71">
        <f>M68</f>
        <v/>
      </c>
      <c r="P71">
        <f>SUBSTITUTE(P68,"Sum of ","")</f>
        <v/>
      </c>
      <c r="Q71">
        <f>Q68</f>
        <v/>
      </c>
      <c r="T71">
        <f>SUBSTITUTE(T68,"Sum of ","")</f>
        <v/>
      </c>
      <c r="U71">
        <f>U68</f>
        <v/>
      </c>
      <c r="X71">
        <f>SUBSTITUTE(X68,"Sum of ","")</f>
        <v/>
      </c>
      <c r="Y71">
        <f>Y68</f>
        <v/>
      </c>
    </row>
    <row r="72" ht="20" customHeight="1">
      <c r="A72" s="4">
        <f>P70</f>
        <v/>
      </c>
      <c r="B72" s="6">
        <f>Q70</f>
        <v/>
      </c>
      <c r="C72" s="5">
        <f>O67</f>
        <v/>
      </c>
      <c r="D72" s="20" t="inlineStr">
        <is>
          <t>HFPA</t>
        </is>
      </c>
      <c r="E72" s="21" t="inlineStr">
        <is>
          <t>JV</t>
        </is>
      </c>
      <c r="H72">
        <f>SUBSTITUTE(H69,"Sum of ","")</f>
        <v/>
      </c>
      <c r="I72">
        <f>I69</f>
        <v/>
      </c>
      <c r="L72">
        <f>SUBSTITUTE(L69,"Sum of ","")</f>
        <v/>
      </c>
      <c r="M72">
        <f>M69</f>
        <v/>
      </c>
      <c r="P72">
        <f>SUBSTITUTE(P69,"Sum of ","")</f>
        <v/>
      </c>
      <c r="Q72">
        <f>Q69</f>
        <v/>
      </c>
      <c r="T72">
        <f>SUBSTITUTE(T69,"Sum of ","")</f>
        <v/>
      </c>
      <c r="U72">
        <f>U69</f>
        <v/>
      </c>
      <c r="X72">
        <f>SUBSTITUTE(X69,"Sum of ","")</f>
        <v/>
      </c>
      <c r="Y72">
        <f>Y69</f>
        <v/>
      </c>
    </row>
    <row r="73" ht="20" customHeight="1">
      <c r="A73" s="8">
        <f>P71</f>
        <v/>
      </c>
      <c r="B73" s="10">
        <f>Q71</f>
        <v/>
      </c>
      <c r="C73" s="9">
        <f>O68</f>
        <v/>
      </c>
      <c r="D73" s="20" t="inlineStr">
        <is>
          <t>HFPA</t>
        </is>
      </c>
      <c r="E73" s="22" t="inlineStr">
        <is>
          <t>JV</t>
        </is>
      </c>
    </row>
    <row r="74" ht="20" customHeight="1">
      <c r="A74" s="4">
        <f>P72</f>
        <v/>
      </c>
      <c r="B74" s="6">
        <f>Q72</f>
        <v/>
      </c>
      <c r="C74" s="5">
        <f>O69</f>
        <v/>
      </c>
      <c r="D74" s="20" t="inlineStr">
        <is>
          <t>HFPA</t>
        </is>
      </c>
      <c r="E74" s="21" t="inlineStr">
        <is>
          <t>JV</t>
        </is>
      </c>
    </row>
    <row r="75" ht="20" customHeight="1">
      <c r="A75" s="8">
        <f>T70</f>
        <v/>
      </c>
      <c r="B75" s="10">
        <f>U70</f>
        <v/>
      </c>
      <c r="C75" s="9">
        <f>S67</f>
        <v/>
      </c>
      <c r="D75" s="20" t="inlineStr">
        <is>
          <t>HFPA</t>
        </is>
      </c>
      <c r="E75" s="22" t="inlineStr">
        <is>
          <t>JV</t>
        </is>
      </c>
    </row>
    <row r="76" ht="20" customHeight="1">
      <c r="A76" s="4">
        <f>T71</f>
        <v/>
      </c>
      <c r="B76" s="6">
        <f>U71</f>
        <v/>
      </c>
      <c r="C76" s="5">
        <f>S68</f>
        <v/>
      </c>
      <c r="D76" s="20" t="inlineStr">
        <is>
          <t>HFPA</t>
        </is>
      </c>
      <c r="E76" s="21" t="inlineStr">
        <is>
          <t>JV</t>
        </is>
      </c>
    </row>
    <row r="77" ht="20" customHeight="1">
      <c r="A77" s="8">
        <f>T72</f>
        <v/>
      </c>
      <c r="B77" s="10">
        <f>U72</f>
        <v/>
      </c>
      <c r="C77" s="9">
        <f>S69</f>
        <v/>
      </c>
      <c r="D77" s="20" t="inlineStr">
        <is>
          <t>HFPA</t>
        </is>
      </c>
      <c r="E77" s="22" t="inlineStr">
        <is>
          <t>JV</t>
        </is>
      </c>
    </row>
    <row r="78" ht="20" customHeight="1">
      <c r="A78" s="4">
        <f>X70</f>
        <v/>
      </c>
      <c r="B78" s="6">
        <f>Y70</f>
        <v/>
      </c>
      <c r="C78" s="5">
        <f>W67</f>
        <v/>
      </c>
      <c r="D78" s="20" t="inlineStr">
        <is>
          <t>HFPA</t>
        </is>
      </c>
      <c r="E78" s="21" t="inlineStr">
        <is>
          <t>JV</t>
        </is>
      </c>
    </row>
    <row r="79" ht="24" customHeight="1">
      <c r="A79" s="8">
        <f>X71</f>
        <v/>
      </c>
      <c r="B79" s="10">
        <f>Y71</f>
        <v/>
      </c>
      <c r="C79" s="9">
        <f>W68</f>
        <v/>
      </c>
      <c r="D79" s="20" t="inlineStr">
        <is>
          <t>HFPA</t>
        </is>
      </c>
      <c r="E79" s="22" t="inlineStr">
        <is>
          <t>JV</t>
        </is>
      </c>
      <c r="G79" s="2" t="inlineStr">
        <is>
          <t>FACTORY JV — RE-INSPECTION (RE-AUDIT - MA)</t>
        </is>
      </c>
    </row>
    <row r="80" ht="20" customHeight="1">
      <c r="A80" s="4">
        <f>X72</f>
        <v/>
      </c>
      <c r="B80" s="6">
        <f>Y72</f>
        <v/>
      </c>
      <c r="C80" s="5">
        <f>W69</f>
        <v/>
      </c>
      <c r="D80" s="20" t="inlineStr">
        <is>
          <t>HFPA</t>
        </is>
      </c>
      <c r="E80" s="21" t="inlineStr">
        <is>
          <t>JV</t>
        </is>
      </c>
    </row>
    <row r="81" ht="20" customHeight="1">
      <c r="A81" s="8">
        <f>H85</f>
        <v/>
      </c>
      <c r="B81" s="10">
        <f>I85</f>
        <v/>
      </c>
      <c r="C81" s="9">
        <f>C66</f>
        <v/>
      </c>
      <c r="D81" s="23" t="inlineStr">
        <is>
          <t>Re-ins</t>
        </is>
      </c>
      <c r="E81" s="22" t="inlineStr">
        <is>
          <t>JV</t>
        </is>
      </c>
      <c r="G81" s="3" t="inlineStr">
        <is>
          <t>Model Name</t>
        </is>
      </c>
      <c r="H81" s="3" t="inlineStr">
        <is>
          <t>Defect Issue</t>
        </is>
      </c>
      <c r="I81" s="3" t="inlineStr">
        <is>
          <t>Defect Qty</t>
        </is>
      </c>
      <c r="K81" s="3" t="inlineStr">
        <is>
          <t>Model Name</t>
        </is>
      </c>
      <c r="L81" s="3" t="inlineStr">
        <is>
          <t>Defect Issue</t>
        </is>
      </c>
      <c r="M81" s="3" t="inlineStr">
        <is>
          <t>Defect Qty</t>
        </is>
      </c>
      <c r="O81" s="3" t="inlineStr">
        <is>
          <t>Model Name</t>
        </is>
      </c>
      <c r="P81" s="3" t="inlineStr">
        <is>
          <t>Defect Issue</t>
        </is>
      </c>
      <c r="Q81" s="3" t="inlineStr">
        <is>
          <t>Defect Qty</t>
        </is>
      </c>
      <c r="S81" s="3" t="inlineStr">
        <is>
          <t>Model Name</t>
        </is>
      </c>
      <c r="T81" s="3" t="inlineStr">
        <is>
          <t>Defect Issue</t>
        </is>
      </c>
      <c r="U81" s="3" t="inlineStr">
        <is>
          <t>Defect Qty</t>
        </is>
      </c>
      <c r="W81" s="3" t="inlineStr">
        <is>
          <t>Model Name</t>
        </is>
      </c>
      <c r="X81" s="3" t="inlineStr">
        <is>
          <t>Defect Issue</t>
        </is>
      </c>
      <c r="Y81" s="3" t="inlineStr">
        <is>
          <t>Defect Qty</t>
        </is>
      </c>
    </row>
    <row r="82" ht="20" customHeight="1">
      <c r="A82" s="4">
        <f>H86</f>
        <v/>
      </c>
      <c r="B82" s="6">
        <f>I86</f>
        <v/>
      </c>
      <c r="C82" s="5">
        <f>C67</f>
        <v/>
      </c>
      <c r="D82" s="23" t="inlineStr">
        <is>
          <t>Re-ins</t>
        </is>
      </c>
      <c r="E82" s="21" t="inlineStr">
        <is>
          <t>JV</t>
        </is>
      </c>
      <c r="G82" s="24" t="n"/>
      <c r="H82" s="24" t="n"/>
      <c r="I82" s="24" t="n"/>
      <c r="K82" s="4" t="inlineStr">
        <is>
          <t>NIKE AIR MAX SC (MS/WS)</t>
        </is>
      </c>
      <c r="L82" s="5" t="inlineStr">
        <is>
          <t>Sum of Bottom Cosmetic</t>
        </is>
      </c>
      <c r="M82" s="6" t="n">
        <v>3</v>
      </c>
      <c r="O82" s="4" t="inlineStr">
        <is>
          <t>NIKE COURT BOROUGH MID (PSV)</t>
        </is>
      </c>
      <c r="P82" s="5" t="inlineStr">
        <is>
          <t>Sum of Bottom Cosmetic</t>
        </is>
      </c>
      <c r="Q82" s="6" t="n">
        <v>1</v>
      </c>
      <c r="S82" s="4" t="inlineStr">
        <is>
          <t>NIKE EBERNON LOW (MS/WS)</t>
        </is>
      </c>
      <c r="T82" s="5" t="inlineStr">
        <is>
          <t>Sum of Heel/Tip height inconsistent</t>
        </is>
      </c>
      <c r="U82" s="6" t="n">
        <v>6</v>
      </c>
      <c r="W82" s="4" t="inlineStr">
        <is>
          <t>NIKE INITIATOR (MS/WS)</t>
        </is>
      </c>
      <c r="X82" s="5" t="inlineStr">
        <is>
          <t>Sum of Over cement</t>
        </is>
      </c>
      <c r="Y82" s="6" t="n">
        <v>4</v>
      </c>
    </row>
    <row r="83" ht="20" customHeight="1">
      <c r="A83" s="8">
        <f>H87</f>
        <v/>
      </c>
      <c r="B83" s="10">
        <f>I87</f>
        <v/>
      </c>
      <c r="C83" s="9">
        <f>C68</f>
        <v/>
      </c>
      <c r="D83" s="23" t="inlineStr">
        <is>
          <t>Re-ins</t>
        </is>
      </c>
      <c r="E83" s="22" t="inlineStr">
        <is>
          <t>JV</t>
        </is>
      </c>
      <c r="G83" s="24" t="n"/>
      <c r="H83" s="24" t="n"/>
      <c r="I83" s="24" t="n"/>
      <c r="K83" s="4" t="inlineStr">
        <is>
          <t>NIKE AIR MAX SC (MS/WS)</t>
        </is>
      </c>
      <c r="L83" s="5" t="inlineStr">
        <is>
          <t>Sum of Cleanness</t>
        </is>
      </c>
      <c r="M83" s="6" t="n">
        <v>1</v>
      </c>
      <c r="O83" s="24" t="n"/>
      <c r="P83" s="24" t="n"/>
      <c r="Q83" s="24" t="n"/>
      <c r="S83" s="4" t="inlineStr">
        <is>
          <t>NIKE EBERNON LOW (MS/WS)</t>
        </is>
      </c>
      <c r="T83" s="5" t="inlineStr">
        <is>
          <t>Sum of Thread end</t>
        </is>
      </c>
      <c r="U83" s="6" t="n">
        <v>3</v>
      </c>
      <c r="W83" s="4" t="inlineStr">
        <is>
          <t>NIKE INITIATOR (MS/WS)</t>
        </is>
      </c>
      <c r="X83" s="5" t="inlineStr">
        <is>
          <t>Sum of Cleanness</t>
        </is>
      </c>
      <c r="Y83" s="6" t="n">
        <v>3</v>
      </c>
    </row>
    <row r="84" ht="20" customHeight="1">
      <c r="A84" s="4">
        <f>L85</f>
        <v/>
      </c>
      <c r="B84" s="6">
        <f>M85</f>
        <v/>
      </c>
      <c r="C84" s="5">
        <f>C69</f>
        <v/>
      </c>
      <c r="D84" s="23" t="inlineStr">
        <is>
          <t>Re-ins</t>
        </is>
      </c>
      <c r="E84" s="21" t="inlineStr">
        <is>
          <t>JV</t>
        </is>
      </c>
      <c r="G84" s="24" t="n"/>
      <c r="H84" s="24" t="n"/>
      <c r="I84" s="24" t="n"/>
      <c r="K84" s="4" t="inlineStr">
        <is>
          <t>NIKE AIR MAX SC (MS/WS)</t>
        </is>
      </c>
      <c r="L84" s="5" t="inlineStr">
        <is>
          <t>Sum of Sockliner position</t>
        </is>
      </c>
      <c r="M84" s="6" t="n">
        <v>1</v>
      </c>
      <c r="O84" s="24" t="n"/>
      <c r="P84" s="24" t="n"/>
      <c r="Q84" s="24" t="n"/>
      <c r="S84" s="4" t="inlineStr">
        <is>
          <t>NIKE EBERNON LOW (MS/WS)</t>
        </is>
      </c>
      <c r="T84" s="5" t="inlineStr">
        <is>
          <t>Sum of Stitching margin/SPI</t>
        </is>
      </c>
      <c r="U84" s="6" t="n">
        <v>2</v>
      </c>
      <c r="W84" s="4" t="inlineStr">
        <is>
          <t>NIKE INITIATOR (MS/WS)</t>
        </is>
      </c>
      <c r="X84" s="5" t="inlineStr">
        <is>
          <t>Sum of Thread end</t>
        </is>
      </c>
      <c r="Y84" s="6" t="n">
        <v>2</v>
      </c>
    </row>
    <row r="85" ht="20" customHeight="1">
      <c r="A85" s="8">
        <f>L86</f>
        <v/>
      </c>
      <c r="B85" s="10">
        <f>M86</f>
        <v/>
      </c>
      <c r="C85" s="9">
        <f>C70</f>
        <v/>
      </c>
      <c r="D85" s="23" t="inlineStr">
        <is>
          <t>Re-ins</t>
        </is>
      </c>
      <c r="E85" s="22" t="inlineStr">
        <is>
          <t>JV</t>
        </is>
      </c>
      <c r="H85">
        <f>SUBSTITUTE(H82,"Sum of ","")</f>
        <v/>
      </c>
      <c r="I85">
        <f>I82</f>
        <v/>
      </c>
      <c r="L85">
        <f>SUBSTITUTE(L82,"Sum of ","")</f>
        <v/>
      </c>
      <c r="M85">
        <f>M82</f>
        <v/>
      </c>
      <c r="P85">
        <f>SUBSTITUTE(P82,"Sum of ","")</f>
        <v/>
      </c>
      <c r="Q85">
        <f>Q82</f>
        <v/>
      </c>
      <c r="T85">
        <f>SUBSTITUTE(T82,"Sum of ","")</f>
        <v/>
      </c>
      <c r="U85">
        <f>U82</f>
        <v/>
      </c>
      <c r="X85">
        <f>SUBSTITUTE(X82,"Sum of ","")</f>
        <v/>
      </c>
      <c r="Y85">
        <f>Y82</f>
        <v/>
      </c>
    </row>
    <row r="86" ht="20" customHeight="1">
      <c r="A86" s="4">
        <f>L87</f>
        <v/>
      </c>
      <c r="B86" s="6">
        <f>M87</f>
        <v/>
      </c>
      <c r="C86" s="5">
        <f>C71</f>
        <v/>
      </c>
      <c r="D86" s="23" t="inlineStr">
        <is>
          <t>Re-ins</t>
        </is>
      </c>
      <c r="E86" s="21" t="inlineStr">
        <is>
          <t>JV</t>
        </is>
      </c>
      <c r="H86">
        <f>SUBSTITUTE(H83,"Sum of ","")</f>
        <v/>
      </c>
      <c r="I86">
        <f>I83</f>
        <v/>
      </c>
      <c r="L86">
        <f>SUBSTITUTE(L83,"Sum of ","")</f>
        <v/>
      </c>
      <c r="M86">
        <f>M83</f>
        <v/>
      </c>
      <c r="P86">
        <f>SUBSTITUTE(P83,"Sum of ","")</f>
        <v/>
      </c>
      <c r="Q86">
        <f>Q83</f>
        <v/>
      </c>
      <c r="T86">
        <f>SUBSTITUTE(T83,"Sum of ","")</f>
        <v/>
      </c>
      <c r="U86">
        <f>U83</f>
        <v/>
      </c>
      <c r="X86">
        <f>SUBSTITUTE(X83,"Sum of ","")</f>
        <v/>
      </c>
      <c r="Y86">
        <f>Y83</f>
        <v/>
      </c>
    </row>
    <row r="87" ht="20" customHeight="1">
      <c r="A87" s="8">
        <f>P85</f>
        <v/>
      </c>
      <c r="B87" s="10">
        <f>Q85</f>
        <v/>
      </c>
      <c r="C87" s="9">
        <f>C72</f>
        <v/>
      </c>
      <c r="D87" s="23" t="inlineStr">
        <is>
          <t>Re-ins</t>
        </is>
      </c>
      <c r="E87" s="22" t="inlineStr">
        <is>
          <t>JV</t>
        </is>
      </c>
      <c r="H87">
        <f>SUBSTITUTE(H84,"Sum of ","")</f>
        <v/>
      </c>
      <c r="I87">
        <f>I84</f>
        <v/>
      </c>
      <c r="L87">
        <f>SUBSTITUTE(L84,"Sum of ","")</f>
        <v/>
      </c>
      <c r="M87">
        <f>M84</f>
        <v/>
      </c>
      <c r="P87">
        <f>SUBSTITUTE(P84,"Sum of ","")</f>
        <v/>
      </c>
      <c r="Q87">
        <f>Q84</f>
        <v/>
      </c>
      <c r="T87">
        <f>SUBSTITUTE(T84,"Sum of ","")</f>
        <v/>
      </c>
      <c r="U87">
        <f>U84</f>
        <v/>
      </c>
      <c r="X87">
        <f>SUBSTITUTE(X84,"Sum of ","")</f>
        <v/>
      </c>
      <c r="Y87">
        <f>Y84</f>
        <v/>
      </c>
    </row>
    <row r="88" ht="20" customHeight="1">
      <c r="A88" s="4">
        <f>P86</f>
        <v/>
      </c>
      <c r="B88" s="6">
        <f>Q86</f>
        <v/>
      </c>
      <c r="C88" s="5">
        <f>C73</f>
        <v/>
      </c>
      <c r="D88" s="23" t="inlineStr">
        <is>
          <t>Re-ins</t>
        </is>
      </c>
      <c r="E88" s="21" t="inlineStr">
        <is>
          <t>JV</t>
        </is>
      </c>
    </row>
    <row r="89" ht="20" customHeight="1">
      <c r="A89" s="8">
        <f>P87</f>
        <v/>
      </c>
      <c r="B89" s="10">
        <f>Q87</f>
        <v/>
      </c>
      <c r="C89" s="9">
        <f>C74</f>
        <v/>
      </c>
      <c r="D89" s="23" t="inlineStr">
        <is>
          <t>Re-ins</t>
        </is>
      </c>
      <c r="E89" s="22" t="inlineStr">
        <is>
          <t>JV</t>
        </is>
      </c>
    </row>
    <row r="90" ht="20" customHeight="1">
      <c r="A90" s="4">
        <f>T85</f>
        <v/>
      </c>
      <c r="B90" s="6">
        <f>U85</f>
        <v/>
      </c>
      <c r="C90" s="5">
        <f>C75</f>
        <v/>
      </c>
      <c r="D90" s="23" t="inlineStr">
        <is>
          <t>Re-ins</t>
        </is>
      </c>
      <c r="E90" s="21" t="inlineStr">
        <is>
          <t>JV</t>
        </is>
      </c>
    </row>
    <row r="91" ht="20" customHeight="1">
      <c r="A91" s="8">
        <f>T86</f>
        <v/>
      </c>
      <c r="B91" s="10">
        <f>U86</f>
        <v/>
      </c>
      <c r="C91" s="9">
        <f>C76</f>
        <v/>
      </c>
      <c r="D91" s="23" t="inlineStr">
        <is>
          <t>Re-ins</t>
        </is>
      </c>
      <c r="E91" s="22" t="inlineStr">
        <is>
          <t>JV</t>
        </is>
      </c>
    </row>
    <row r="92" ht="20" customHeight="1">
      <c r="A92" s="4">
        <f>T87</f>
        <v/>
      </c>
      <c r="B92" s="6">
        <f>U87</f>
        <v/>
      </c>
      <c r="C92" s="5">
        <f>C77</f>
        <v/>
      </c>
      <c r="D92" s="23" t="inlineStr">
        <is>
          <t>Re-ins</t>
        </is>
      </c>
      <c r="E92" s="21" t="inlineStr">
        <is>
          <t>JV</t>
        </is>
      </c>
    </row>
    <row r="93" ht="20" customHeight="1">
      <c r="A93" s="8">
        <f>X85</f>
        <v/>
      </c>
      <c r="B93" s="10">
        <f>Y85</f>
        <v/>
      </c>
      <c r="C93" s="9">
        <f>C78</f>
        <v/>
      </c>
      <c r="D93" s="23" t="inlineStr">
        <is>
          <t>Re-ins</t>
        </is>
      </c>
      <c r="E93" s="22" t="inlineStr">
        <is>
          <t>JV</t>
        </is>
      </c>
    </row>
    <row r="94" ht="20" customHeight="1">
      <c r="A94" s="4">
        <f>X86</f>
        <v/>
      </c>
      <c r="B94" s="6">
        <f>Y86</f>
        <v/>
      </c>
      <c r="C94" s="5">
        <f>C79</f>
        <v/>
      </c>
      <c r="D94" s="23" t="inlineStr">
        <is>
          <t>Re-ins</t>
        </is>
      </c>
      <c r="E94" s="21" t="inlineStr">
        <is>
          <t>JV</t>
        </is>
      </c>
    </row>
    <row r="95" ht="20" customHeight="1">
      <c r="A95" s="8">
        <f>X87</f>
        <v/>
      </c>
      <c r="B95" s="10">
        <f>Y87</f>
        <v/>
      </c>
      <c r="C95" s="9">
        <f>C80</f>
        <v/>
      </c>
      <c r="D95" s="23" t="inlineStr">
        <is>
          <t>Re-ins</t>
        </is>
      </c>
      <c r="E95" s="22" t="inlineStr">
        <is>
          <t>JV</t>
        </is>
      </c>
    </row>
    <row r="96" ht="20" customHeight="1">
      <c r="A96" s="4">
        <f>H104</f>
        <v/>
      </c>
      <c r="B96" s="6">
        <f>I104</f>
        <v/>
      </c>
      <c r="C96" s="5">
        <f>G101</f>
        <v/>
      </c>
      <c r="D96" s="20" t="inlineStr">
        <is>
          <t>HFPA</t>
        </is>
      </c>
      <c r="E96" s="21" t="inlineStr">
        <is>
          <t>JV2</t>
        </is>
      </c>
    </row>
    <row r="97" ht="20" customHeight="1">
      <c r="A97" s="8">
        <f>H105</f>
        <v/>
      </c>
      <c r="B97" s="10">
        <f>I105</f>
        <v/>
      </c>
      <c r="C97" s="9">
        <f>G102</f>
        <v/>
      </c>
      <c r="D97" s="20" t="inlineStr">
        <is>
          <t>HFPA</t>
        </is>
      </c>
      <c r="E97" s="22" t="inlineStr">
        <is>
          <t>JV2</t>
        </is>
      </c>
    </row>
    <row r="98" ht="20" customHeight="1">
      <c r="A98" s="4">
        <f>H106</f>
        <v/>
      </c>
      <c r="B98" s="6">
        <f>I106</f>
        <v/>
      </c>
      <c r="C98" s="5">
        <f>G103</f>
        <v/>
      </c>
      <c r="D98" s="20" t="inlineStr">
        <is>
          <t>HFPA</t>
        </is>
      </c>
      <c r="E98" s="21" t="inlineStr">
        <is>
          <t>JV2</t>
        </is>
      </c>
      <c r="G98" s="2" t="inlineStr">
        <is>
          <t>FACTORY JV2 — HFPA TOP DEFECTS PER MODEL</t>
        </is>
      </c>
    </row>
    <row r="99" ht="20" customHeight="1">
      <c r="A99" s="8">
        <f>L104</f>
        <v/>
      </c>
      <c r="B99" s="10">
        <f>M104</f>
        <v/>
      </c>
      <c r="C99" s="9">
        <f>K101</f>
        <v/>
      </c>
      <c r="D99" s="20" t="inlineStr">
        <is>
          <t>HFPA</t>
        </is>
      </c>
      <c r="E99" s="22" t="inlineStr">
        <is>
          <t>JV2</t>
        </is>
      </c>
    </row>
    <row r="100" ht="20" customHeight="1">
      <c r="A100" s="4">
        <f>L105</f>
        <v/>
      </c>
      <c r="B100" s="6">
        <f>M105</f>
        <v/>
      </c>
      <c r="C100" s="5">
        <f>K102</f>
        <v/>
      </c>
      <c r="D100" s="20" t="inlineStr">
        <is>
          <t>HFPA</t>
        </is>
      </c>
      <c r="E100" s="21" t="inlineStr">
        <is>
          <t>JV2</t>
        </is>
      </c>
      <c r="G100" s="3" t="inlineStr">
        <is>
          <t>Model Name</t>
        </is>
      </c>
      <c r="H100" s="3" t="inlineStr">
        <is>
          <t>Defect Issue</t>
        </is>
      </c>
      <c r="I100" s="3" t="inlineStr">
        <is>
          <t>Total Qty</t>
        </is>
      </c>
      <c r="K100" s="3" t="inlineStr">
        <is>
          <t>Model Name</t>
        </is>
      </c>
      <c r="L100" s="3" t="inlineStr">
        <is>
          <t>Defect Issue</t>
        </is>
      </c>
      <c r="M100" s="3" t="inlineStr">
        <is>
          <t>Total Qty</t>
        </is>
      </c>
      <c r="O100" s="3" t="inlineStr">
        <is>
          <t>Model Name</t>
        </is>
      </c>
      <c r="P100" s="3" t="inlineStr">
        <is>
          <t>Defect Issue</t>
        </is>
      </c>
      <c r="Q100" s="3" t="inlineStr">
        <is>
          <t>Total Qty</t>
        </is>
      </c>
      <c r="S100" s="3" t="inlineStr">
        <is>
          <t>Model Name</t>
        </is>
      </c>
      <c r="T100" s="3" t="inlineStr">
        <is>
          <t>Defect Issue</t>
        </is>
      </c>
      <c r="U100" s="3" t="inlineStr">
        <is>
          <t>Total Qty</t>
        </is>
      </c>
      <c r="W100" s="3" t="inlineStr">
        <is>
          <t>Model Name</t>
        </is>
      </c>
      <c r="X100" s="3" t="inlineStr">
        <is>
          <t>Defect Issue</t>
        </is>
      </c>
      <c r="Y100" s="3" t="inlineStr">
        <is>
          <t>Total Qty</t>
        </is>
      </c>
    </row>
    <row r="101" ht="20" customHeight="1">
      <c r="A101" s="8">
        <f>L106</f>
        <v/>
      </c>
      <c r="B101" s="10">
        <f>M106</f>
        <v/>
      </c>
      <c r="C101" s="9">
        <f>K103</f>
        <v/>
      </c>
      <c r="D101" s="20" t="inlineStr">
        <is>
          <t>HFPA</t>
        </is>
      </c>
      <c r="E101" s="22" t="inlineStr">
        <is>
          <t>JV2</t>
        </is>
      </c>
      <c r="G101" s="4" t="inlineStr">
        <is>
          <t>AIR JORDAN 1 MID SE (GS)</t>
        </is>
      </c>
      <c r="H101" s="5" t="inlineStr">
        <is>
          <t>Sum of Midsole/Outsole to upper bond gap</t>
        </is>
      </c>
      <c r="I101" s="6" t="n">
        <v>42</v>
      </c>
      <c r="K101" s="4" t="inlineStr">
        <is>
          <t>JORDAN 1 LOW ALT (PS)</t>
        </is>
      </c>
      <c r="L101" s="5" t="inlineStr">
        <is>
          <t>Sum of Over cement</t>
        </is>
      </c>
      <c r="M101" s="6" t="n">
        <v>29</v>
      </c>
      <c r="O101" s="4" t="inlineStr">
        <is>
          <t>JORDAN 1 MID SE (PS/TD)</t>
        </is>
      </c>
      <c r="P101" s="5" t="inlineStr">
        <is>
          <t>Sum of Midsole/Outsole to upper bond gap</t>
        </is>
      </c>
      <c r="Q101" s="6" t="n">
        <v>42</v>
      </c>
      <c r="S101" s="4" t="inlineStr">
        <is>
          <t>NIKE COURT VISION LOW (MS/WS)</t>
        </is>
      </c>
      <c r="T101" s="5" t="inlineStr">
        <is>
          <t>Sum of Midsole/Outsole to upper bond gap</t>
        </is>
      </c>
      <c r="U101" s="6" t="n">
        <v>83</v>
      </c>
      <c r="W101" s="4" t="inlineStr">
        <is>
          <t>NIKE INITIATOR (MS/WS)</t>
        </is>
      </c>
      <c r="X101" s="5" t="inlineStr">
        <is>
          <t>Sum of Midsole/Outsole to upper bond gap</t>
        </is>
      </c>
      <c r="Y101" s="6" t="n">
        <v>20</v>
      </c>
    </row>
    <row r="102" ht="20" customHeight="1">
      <c r="A102" s="4">
        <f>P104</f>
        <v/>
      </c>
      <c r="B102" s="6">
        <f>Q104</f>
        <v/>
      </c>
      <c r="C102" s="5">
        <f>O101</f>
        <v/>
      </c>
      <c r="D102" s="20" t="inlineStr">
        <is>
          <t>HFPA</t>
        </is>
      </c>
      <c r="E102" s="21" t="inlineStr">
        <is>
          <t>JV2</t>
        </is>
      </c>
      <c r="G102" s="4" t="inlineStr">
        <is>
          <t>AIR JORDAN 1 MID SE (GS)</t>
        </is>
      </c>
      <c r="H102" s="5" t="inlineStr">
        <is>
          <t>Sum of Over cement</t>
        </is>
      </c>
      <c r="I102" s="6" t="n">
        <v>26</v>
      </c>
      <c r="K102" s="4" t="inlineStr">
        <is>
          <t>JORDAN 1 LOW ALT (PS)</t>
        </is>
      </c>
      <c r="L102" s="5" t="inlineStr">
        <is>
          <t>Sum of Midsole/Outsole to upper bond gap</t>
        </is>
      </c>
      <c r="M102" s="6" t="n">
        <v>28</v>
      </c>
      <c r="O102" s="4" t="inlineStr">
        <is>
          <t>JORDAN 1 MID SE (PS/TD)</t>
        </is>
      </c>
      <c r="P102" s="5" t="inlineStr">
        <is>
          <t>Sum of Over cement</t>
        </is>
      </c>
      <c r="Q102" s="6" t="n">
        <v>37</v>
      </c>
      <c r="S102" s="4" t="inlineStr">
        <is>
          <t>NIKE COURT VISION LOW (MS/WS)</t>
        </is>
      </c>
      <c r="T102" s="5" t="inlineStr">
        <is>
          <t>Sum of Over cement</t>
        </is>
      </c>
      <c r="U102" s="6" t="n">
        <v>29</v>
      </c>
      <c r="W102" s="4" t="inlineStr">
        <is>
          <t>NIKE INITIATOR (MS/WS)</t>
        </is>
      </c>
      <c r="X102" s="5" t="inlineStr">
        <is>
          <t>Sum of Over buffing</t>
        </is>
      </c>
      <c r="Y102" s="6" t="n">
        <v>15</v>
      </c>
    </row>
    <row r="103" ht="20" customHeight="1">
      <c r="A103" s="8">
        <f>P105</f>
        <v/>
      </c>
      <c r="B103" s="10">
        <f>Q105</f>
        <v/>
      </c>
      <c r="C103" s="9">
        <f>O102</f>
        <v/>
      </c>
      <c r="D103" s="20" t="inlineStr">
        <is>
          <t>HFPA</t>
        </is>
      </c>
      <c r="E103" s="22" t="inlineStr">
        <is>
          <t>JV2</t>
        </is>
      </c>
      <c r="G103" s="4" t="inlineStr">
        <is>
          <t>AIR JORDAN 1 MID SE (GS)</t>
        </is>
      </c>
      <c r="H103" s="5" t="inlineStr">
        <is>
          <t>Sum of Over buffing</t>
        </is>
      </c>
      <c r="I103" s="6" t="n">
        <v>15</v>
      </c>
      <c r="K103" s="4" t="inlineStr">
        <is>
          <t>JORDAN 1 LOW ALT (PS)</t>
        </is>
      </c>
      <c r="L103" s="5" t="inlineStr">
        <is>
          <t>Sum of Over buffing</t>
        </is>
      </c>
      <c r="M103" s="6" t="n">
        <v>8</v>
      </c>
      <c r="O103" s="4" t="inlineStr">
        <is>
          <t>JORDAN 1 MID SE (PS/TD)</t>
        </is>
      </c>
      <c r="P103" s="5" t="inlineStr">
        <is>
          <t>Sum of Cleanness</t>
        </is>
      </c>
      <c r="Q103" s="6" t="n">
        <v>27</v>
      </c>
      <c r="S103" s="4" t="inlineStr">
        <is>
          <t>NIKE COURT VISION LOW (MS/WS)</t>
        </is>
      </c>
      <c r="T103" s="5" t="inlineStr">
        <is>
          <t>Sum of Rocking</t>
        </is>
      </c>
      <c r="U103" s="6" t="n">
        <v>18</v>
      </c>
      <c r="W103" s="4" t="inlineStr">
        <is>
          <t>NIKE INITIATOR (MS/WS)</t>
        </is>
      </c>
      <c r="X103" s="5" t="inlineStr">
        <is>
          <t>Sum of Cleanness</t>
        </is>
      </c>
      <c r="Y103" s="6" t="n">
        <v>10</v>
      </c>
    </row>
    <row r="104" ht="20" customHeight="1">
      <c r="A104" s="4">
        <f>P106</f>
        <v/>
      </c>
      <c r="B104" s="6">
        <f>Q106</f>
        <v/>
      </c>
      <c r="C104" s="5">
        <f>O103</f>
        <v/>
      </c>
      <c r="D104" s="20" t="inlineStr">
        <is>
          <t>HFPA</t>
        </is>
      </c>
      <c r="E104" s="21" t="inlineStr">
        <is>
          <t>JV2</t>
        </is>
      </c>
      <c r="H104">
        <f>SUBSTITUTE(H101,"Sum of ","")</f>
        <v/>
      </c>
      <c r="I104">
        <f>I101</f>
        <v/>
      </c>
      <c r="L104">
        <f>SUBSTITUTE(L101,"Sum of ","")</f>
        <v/>
      </c>
      <c r="M104">
        <f>M101</f>
        <v/>
      </c>
      <c r="P104">
        <f>SUBSTITUTE(P101,"Sum of ","")</f>
        <v/>
      </c>
      <c r="Q104">
        <f>Q101</f>
        <v/>
      </c>
      <c r="T104">
        <f>SUBSTITUTE(T101,"Sum of ","")</f>
        <v/>
      </c>
      <c r="U104">
        <f>U101</f>
        <v/>
      </c>
      <c r="X104">
        <f>SUBSTITUTE(X101,"Sum of ","")</f>
        <v/>
      </c>
      <c r="Y104">
        <f>Y101</f>
        <v/>
      </c>
    </row>
    <row r="105" ht="20" customHeight="1">
      <c r="A105" s="8">
        <f>T104</f>
        <v/>
      </c>
      <c r="B105" s="10">
        <f>U104</f>
        <v/>
      </c>
      <c r="C105" s="9">
        <f>S101</f>
        <v/>
      </c>
      <c r="D105" s="20" t="inlineStr">
        <is>
          <t>HFPA</t>
        </is>
      </c>
      <c r="E105" s="22" t="inlineStr">
        <is>
          <t>JV2</t>
        </is>
      </c>
      <c r="H105">
        <f>SUBSTITUTE(H102,"Sum of ","")</f>
        <v/>
      </c>
      <c r="I105">
        <f>I102</f>
        <v/>
      </c>
      <c r="L105">
        <f>SUBSTITUTE(L102,"Sum of ","")</f>
        <v/>
      </c>
      <c r="M105">
        <f>M102</f>
        <v/>
      </c>
      <c r="P105">
        <f>SUBSTITUTE(P102,"Sum of ","")</f>
        <v/>
      </c>
      <c r="Q105">
        <f>Q102</f>
        <v/>
      </c>
      <c r="T105">
        <f>SUBSTITUTE(T102,"Sum of ","")</f>
        <v/>
      </c>
      <c r="U105">
        <f>U102</f>
        <v/>
      </c>
      <c r="X105">
        <f>SUBSTITUTE(X102,"Sum of ","")</f>
        <v/>
      </c>
      <c r="Y105">
        <f>Y102</f>
        <v/>
      </c>
    </row>
    <row r="106" ht="20" customHeight="1">
      <c r="A106" s="4">
        <f>T105</f>
        <v/>
      </c>
      <c r="B106" s="6">
        <f>U105</f>
        <v/>
      </c>
      <c r="C106" s="5">
        <f>S102</f>
        <v/>
      </c>
      <c r="D106" s="20" t="inlineStr">
        <is>
          <t>HFPA</t>
        </is>
      </c>
      <c r="E106" s="21" t="inlineStr">
        <is>
          <t>JV2</t>
        </is>
      </c>
      <c r="H106">
        <f>SUBSTITUTE(H103,"Sum of ","")</f>
        <v/>
      </c>
      <c r="I106">
        <f>I103</f>
        <v/>
      </c>
      <c r="L106">
        <f>SUBSTITUTE(L103,"Sum of ","")</f>
        <v/>
      </c>
      <c r="M106">
        <f>M103</f>
        <v/>
      </c>
      <c r="P106">
        <f>SUBSTITUTE(P103,"Sum of ","")</f>
        <v/>
      </c>
      <c r="Q106">
        <f>Q103</f>
        <v/>
      </c>
      <c r="T106">
        <f>SUBSTITUTE(T103,"Sum of ","")</f>
        <v/>
      </c>
      <c r="U106">
        <f>U103</f>
        <v/>
      </c>
      <c r="X106">
        <f>SUBSTITUTE(X103,"Sum of ","")</f>
        <v/>
      </c>
      <c r="Y106">
        <f>Y103</f>
        <v/>
      </c>
    </row>
    <row r="107" ht="20" customHeight="1">
      <c r="A107" s="8">
        <f>T106</f>
        <v/>
      </c>
      <c r="B107" s="10">
        <f>U106</f>
        <v/>
      </c>
      <c r="C107" s="9">
        <f>S103</f>
        <v/>
      </c>
      <c r="D107" s="20" t="inlineStr">
        <is>
          <t>HFPA</t>
        </is>
      </c>
      <c r="E107" s="22" t="inlineStr">
        <is>
          <t>JV2</t>
        </is>
      </c>
    </row>
    <row r="108" ht="20" customHeight="1">
      <c r="A108" s="4">
        <f>X104</f>
        <v/>
      </c>
      <c r="B108" s="6">
        <f>Y104</f>
        <v/>
      </c>
      <c r="C108" s="5">
        <f>W101</f>
        <v/>
      </c>
      <c r="D108" s="20" t="inlineStr">
        <is>
          <t>HFPA</t>
        </is>
      </c>
      <c r="E108" s="21" t="inlineStr">
        <is>
          <t>JV2</t>
        </is>
      </c>
    </row>
    <row r="109" ht="20" customHeight="1">
      <c r="A109" s="8">
        <f>X105</f>
        <v/>
      </c>
      <c r="B109" s="10">
        <f>Y105</f>
        <v/>
      </c>
      <c r="C109" s="9">
        <f>W102</f>
        <v/>
      </c>
      <c r="D109" s="20" t="inlineStr">
        <is>
          <t>HFPA</t>
        </is>
      </c>
      <c r="E109" s="22" t="inlineStr">
        <is>
          <t>JV2</t>
        </is>
      </c>
    </row>
    <row r="110" ht="20" customHeight="1">
      <c r="A110" s="4">
        <f>X106</f>
        <v/>
      </c>
      <c r="B110" s="6">
        <f>Y106</f>
        <v/>
      </c>
      <c r="C110" s="5">
        <f>W103</f>
        <v/>
      </c>
      <c r="D110" s="20" t="inlineStr">
        <is>
          <t>HFPA</t>
        </is>
      </c>
      <c r="E110" s="21" t="inlineStr">
        <is>
          <t>JV2</t>
        </is>
      </c>
    </row>
    <row r="111" ht="20" customHeight="1">
      <c r="A111" s="8">
        <f>H119</f>
        <v/>
      </c>
      <c r="B111" s="10">
        <f>I119</f>
        <v/>
      </c>
      <c r="C111" s="9">
        <f>C96</f>
        <v/>
      </c>
      <c r="D111" s="23" t="inlineStr">
        <is>
          <t>Re-ins</t>
        </is>
      </c>
      <c r="E111" s="22" t="inlineStr">
        <is>
          <t>JV2</t>
        </is>
      </c>
    </row>
    <row r="112" ht="20" customHeight="1">
      <c r="A112" s="4">
        <f>H120</f>
        <v/>
      </c>
      <c r="B112" s="6">
        <f>I120</f>
        <v/>
      </c>
      <c r="C112" s="5">
        <f>C97</f>
        <v/>
      </c>
      <c r="D112" s="23" t="inlineStr">
        <is>
          <t>Re-ins</t>
        </is>
      </c>
      <c r="E112" s="21" t="inlineStr">
        <is>
          <t>JV2</t>
        </is>
      </c>
    </row>
    <row r="113" ht="20" customHeight="1">
      <c r="A113" s="8">
        <f>H121</f>
        <v/>
      </c>
      <c r="B113" s="10">
        <f>I121</f>
        <v/>
      </c>
      <c r="C113" s="9">
        <f>C98</f>
        <v/>
      </c>
      <c r="D113" s="23" t="inlineStr">
        <is>
          <t>Re-ins</t>
        </is>
      </c>
      <c r="E113" s="22" t="inlineStr">
        <is>
          <t>JV2</t>
        </is>
      </c>
      <c r="G113" s="2" t="inlineStr">
        <is>
          <t>FACTORY JV2 — RE-INSPECTION (RE-AUDIT - MA)</t>
        </is>
      </c>
    </row>
    <row r="114" ht="20" customHeight="1">
      <c r="A114" s="4">
        <f>L119</f>
        <v/>
      </c>
      <c r="B114" s="6">
        <f>M119</f>
        <v/>
      </c>
      <c r="C114" s="5">
        <f>C99</f>
        <v/>
      </c>
      <c r="D114" s="23" t="inlineStr">
        <is>
          <t>Re-ins</t>
        </is>
      </c>
      <c r="E114" s="21" t="inlineStr">
        <is>
          <t>JV2</t>
        </is>
      </c>
    </row>
    <row r="115" ht="20" customHeight="1">
      <c r="A115" s="8">
        <f>L120</f>
        <v/>
      </c>
      <c r="B115" s="10">
        <f>M120</f>
        <v/>
      </c>
      <c r="C115" s="9">
        <f>C100</f>
        <v/>
      </c>
      <c r="D115" s="23" t="inlineStr">
        <is>
          <t>Re-ins</t>
        </is>
      </c>
      <c r="E115" s="22" t="inlineStr">
        <is>
          <t>JV2</t>
        </is>
      </c>
      <c r="G115" s="3" t="inlineStr">
        <is>
          <t>Model Name</t>
        </is>
      </c>
      <c r="H115" s="3" t="inlineStr">
        <is>
          <t>Defect Issue</t>
        </is>
      </c>
      <c r="I115" s="3" t="inlineStr">
        <is>
          <t>Defect Qty</t>
        </is>
      </c>
      <c r="K115" s="3" t="inlineStr">
        <is>
          <t>Model Name</t>
        </is>
      </c>
      <c r="L115" s="3" t="inlineStr">
        <is>
          <t>Defect Issue</t>
        </is>
      </c>
      <c r="M115" s="3" t="inlineStr">
        <is>
          <t>Defect Qty</t>
        </is>
      </c>
      <c r="O115" s="3" t="inlineStr">
        <is>
          <t>Model Name</t>
        </is>
      </c>
      <c r="P115" s="3" t="inlineStr">
        <is>
          <t>Defect Issue</t>
        </is>
      </c>
      <c r="Q115" s="3" t="inlineStr">
        <is>
          <t>Defect Qty</t>
        </is>
      </c>
      <c r="S115" s="3" t="inlineStr">
        <is>
          <t>Model Name</t>
        </is>
      </c>
      <c r="T115" s="3" t="inlineStr">
        <is>
          <t>Defect Issue</t>
        </is>
      </c>
      <c r="U115" s="3" t="inlineStr">
        <is>
          <t>Defect Qty</t>
        </is>
      </c>
      <c r="W115" s="3" t="inlineStr">
        <is>
          <t>Model Name</t>
        </is>
      </c>
      <c r="X115" s="3" t="inlineStr">
        <is>
          <t>Defect Issue</t>
        </is>
      </c>
      <c r="Y115" s="3" t="inlineStr">
        <is>
          <t>Defect Qty</t>
        </is>
      </c>
    </row>
    <row r="116" ht="20" customHeight="1">
      <c r="A116" s="4">
        <f>L121</f>
        <v/>
      </c>
      <c r="B116" s="6">
        <f>M121</f>
        <v/>
      </c>
      <c r="C116" s="5">
        <f>C101</f>
        <v/>
      </c>
      <c r="D116" s="23" t="inlineStr">
        <is>
          <t>Re-ins</t>
        </is>
      </c>
      <c r="E116" s="21" t="inlineStr">
        <is>
          <t>JV2</t>
        </is>
      </c>
      <c r="G116" s="4" t="inlineStr">
        <is>
          <t>AIR JORDAN 1 MID SE (GS)</t>
        </is>
      </c>
      <c r="H116" s="5" t="inlineStr">
        <is>
          <t>Sum of Cleanness</t>
        </is>
      </c>
      <c r="I116" s="6" t="n">
        <v>9</v>
      </c>
      <c r="K116" s="4" t="inlineStr">
        <is>
          <t>JORDAN 1 LOW ALT (PS)</t>
        </is>
      </c>
      <c r="L116" s="5" t="inlineStr">
        <is>
          <t>Sum of Thread end</t>
        </is>
      </c>
      <c r="M116" s="6" t="n">
        <v>9</v>
      </c>
      <c r="O116" s="4" t="inlineStr">
        <is>
          <t>JORDAN 1 MID SE (PS/TD)</t>
        </is>
      </c>
      <c r="P116" s="5" t="inlineStr">
        <is>
          <t>Sum of Cleanness</t>
        </is>
      </c>
      <c r="Q116" s="6" t="n">
        <v>19</v>
      </c>
      <c r="S116" s="4" t="inlineStr">
        <is>
          <t>NIKE COURT VISION LOW (MS/WS)</t>
        </is>
      </c>
      <c r="T116" s="5" t="inlineStr">
        <is>
          <t>Sum of Cleanness</t>
        </is>
      </c>
      <c r="U116" s="6" t="n">
        <v>23</v>
      </c>
      <c r="W116" s="4" t="inlineStr">
        <is>
          <t>NIKE INITIATOR (MS/WS)</t>
        </is>
      </c>
      <c r="X116" s="5" t="inlineStr">
        <is>
          <t>Sum of Thread end</t>
        </is>
      </c>
      <c r="Y116" s="6" t="n">
        <v>11</v>
      </c>
    </row>
    <row r="117" ht="20" customHeight="1">
      <c r="A117" s="8">
        <f>P119</f>
        <v/>
      </c>
      <c r="B117" s="10">
        <f>Q119</f>
        <v/>
      </c>
      <c r="C117" s="9">
        <f>C102</f>
        <v/>
      </c>
      <c r="D117" s="23" t="inlineStr">
        <is>
          <t>Re-ins</t>
        </is>
      </c>
      <c r="E117" s="22" t="inlineStr">
        <is>
          <t>JV2</t>
        </is>
      </c>
      <c r="G117" s="4" t="inlineStr">
        <is>
          <t>AIR JORDAN 1 MID SE (GS)</t>
        </is>
      </c>
      <c r="H117" s="5" t="inlineStr">
        <is>
          <t>Sum of Thread end</t>
        </is>
      </c>
      <c r="I117" s="6" t="n">
        <v>5</v>
      </c>
      <c r="K117" s="4" t="inlineStr">
        <is>
          <t>JORDAN 1 LOW ALT (PS)</t>
        </is>
      </c>
      <c r="L117" s="5" t="inlineStr">
        <is>
          <t>Sum of Over cement</t>
        </is>
      </c>
      <c r="M117" s="6" t="n">
        <v>7</v>
      </c>
      <c r="O117" s="4" t="inlineStr">
        <is>
          <t>JORDAN 1 MID SE (PS/TD)</t>
        </is>
      </c>
      <c r="P117" s="5" t="inlineStr">
        <is>
          <t>Sum of Over cement</t>
        </is>
      </c>
      <c r="Q117" s="6" t="n">
        <v>10</v>
      </c>
      <c r="S117" s="4" t="inlineStr">
        <is>
          <t>NIKE COURT VISION LOW (MS/WS)</t>
        </is>
      </c>
      <c r="T117" s="5" t="inlineStr">
        <is>
          <t>Sum of Over cement</t>
        </is>
      </c>
      <c r="U117" s="6" t="n">
        <v>10</v>
      </c>
      <c r="W117" s="4" t="inlineStr">
        <is>
          <t>NIKE INITIATOR (MS/WS)</t>
        </is>
      </c>
      <c r="X117" s="5" t="inlineStr">
        <is>
          <t>Sum of Cleanness</t>
        </is>
      </c>
      <c r="Y117" s="6" t="n">
        <v>5</v>
      </c>
    </row>
    <row r="118" ht="20" customHeight="1">
      <c r="A118" s="4">
        <f>P120</f>
        <v/>
      </c>
      <c r="B118" s="6">
        <f>Q120</f>
        <v/>
      </c>
      <c r="C118" s="5">
        <f>C103</f>
        <v/>
      </c>
      <c r="D118" s="23" t="inlineStr">
        <is>
          <t>Re-ins</t>
        </is>
      </c>
      <c r="E118" s="21" t="inlineStr">
        <is>
          <t>JV2</t>
        </is>
      </c>
      <c r="G118" s="4" t="inlineStr">
        <is>
          <t>AIR JORDAN 1 MID SE (GS)</t>
        </is>
      </c>
      <c r="H118" s="5" t="inlineStr">
        <is>
          <t>Sum of Heel off center</t>
        </is>
      </c>
      <c r="I118" s="6" t="n">
        <v>2</v>
      </c>
      <c r="K118" s="4" t="inlineStr">
        <is>
          <t>JORDAN 1 LOW ALT (PS)</t>
        </is>
      </c>
      <c r="L118" s="5" t="inlineStr">
        <is>
          <t>Sum of Cleanness</t>
        </is>
      </c>
      <c r="M118" s="6" t="n">
        <v>6</v>
      </c>
      <c r="O118" s="4" t="inlineStr">
        <is>
          <t>JORDAN 1 MID SE (PS/TD)</t>
        </is>
      </c>
      <c r="P118" s="5" t="inlineStr">
        <is>
          <t>Sum of Thread end</t>
        </is>
      </c>
      <c r="Q118" s="6" t="n">
        <v>9</v>
      </c>
      <c r="S118" s="4" t="inlineStr">
        <is>
          <t>NIKE COURT VISION LOW (MS/WS)</t>
        </is>
      </c>
      <c r="T118" s="5" t="inlineStr">
        <is>
          <t>Sum of Thread end</t>
        </is>
      </c>
      <c r="U118" s="6" t="n">
        <v>6</v>
      </c>
      <c r="W118" s="4" t="inlineStr">
        <is>
          <t>NIKE INITIATOR (MS/WS)</t>
        </is>
      </c>
      <c r="X118" s="5" t="inlineStr">
        <is>
          <t>Sum of Hairy edge</t>
        </is>
      </c>
      <c r="Y118" s="6" t="n">
        <v>1</v>
      </c>
    </row>
    <row r="119" ht="20" customHeight="1">
      <c r="A119" s="8">
        <f>P121</f>
        <v/>
      </c>
      <c r="B119" s="10">
        <f>Q121</f>
        <v/>
      </c>
      <c r="C119" s="9">
        <f>C104</f>
        <v/>
      </c>
      <c r="D119" s="23" t="inlineStr">
        <is>
          <t>Re-ins</t>
        </is>
      </c>
      <c r="E119" s="22" t="inlineStr">
        <is>
          <t>JV2</t>
        </is>
      </c>
      <c r="H119">
        <f>SUBSTITUTE(H116,"Sum of ","")</f>
        <v/>
      </c>
      <c r="I119">
        <f>I116</f>
        <v/>
      </c>
      <c r="L119">
        <f>SUBSTITUTE(L116,"Sum of ","")</f>
        <v/>
      </c>
      <c r="M119">
        <f>M116</f>
        <v/>
      </c>
      <c r="P119">
        <f>SUBSTITUTE(P116,"Sum of ","")</f>
        <v/>
      </c>
      <c r="Q119">
        <f>Q116</f>
        <v/>
      </c>
      <c r="T119">
        <f>SUBSTITUTE(T116,"Sum of ","")</f>
        <v/>
      </c>
      <c r="U119">
        <f>U116</f>
        <v/>
      </c>
      <c r="X119">
        <f>SUBSTITUTE(X116,"Sum of ","")</f>
        <v/>
      </c>
      <c r="Y119">
        <f>Y116</f>
        <v/>
      </c>
    </row>
    <row r="120" ht="20" customHeight="1">
      <c r="A120" s="4">
        <f>T119</f>
        <v/>
      </c>
      <c r="B120" s="6">
        <f>U119</f>
        <v/>
      </c>
      <c r="C120" s="5">
        <f>C105</f>
        <v/>
      </c>
      <c r="D120" s="23" t="inlineStr">
        <is>
          <t>Re-ins</t>
        </is>
      </c>
      <c r="E120" s="21" t="inlineStr">
        <is>
          <t>JV2</t>
        </is>
      </c>
      <c r="H120">
        <f>SUBSTITUTE(H117,"Sum of ","")</f>
        <v/>
      </c>
      <c r="I120">
        <f>I117</f>
        <v/>
      </c>
      <c r="L120">
        <f>SUBSTITUTE(L117,"Sum of ","")</f>
        <v/>
      </c>
      <c r="M120">
        <f>M117</f>
        <v/>
      </c>
      <c r="P120">
        <f>SUBSTITUTE(P117,"Sum of ","")</f>
        <v/>
      </c>
      <c r="Q120">
        <f>Q117</f>
        <v/>
      </c>
      <c r="T120">
        <f>SUBSTITUTE(T117,"Sum of ","")</f>
        <v/>
      </c>
      <c r="U120">
        <f>U117</f>
        <v/>
      </c>
      <c r="X120">
        <f>SUBSTITUTE(X117,"Sum of ","")</f>
        <v/>
      </c>
      <c r="Y120">
        <f>Y117</f>
        <v/>
      </c>
    </row>
    <row r="121" ht="20" customHeight="1">
      <c r="A121" s="8">
        <f>T120</f>
        <v/>
      </c>
      <c r="B121" s="10">
        <f>U120</f>
        <v/>
      </c>
      <c r="C121" s="9">
        <f>C106</f>
        <v/>
      </c>
      <c r="D121" s="23" t="inlineStr">
        <is>
          <t>Re-ins</t>
        </is>
      </c>
      <c r="E121" s="22" t="inlineStr">
        <is>
          <t>JV2</t>
        </is>
      </c>
      <c r="H121">
        <f>SUBSTITUTE(H118,"Sum of ","")</f>
        <v/>
      </c>
      <c r="I121">
        <f>I118</f>
        <v/>
      </c>
      <c r="L121">
        <f>SUBSTITUTE(L118,"Sum of ","")</f>
        <v/>
      </c>
      <c r="M121">
        <f>M118</f>
        <v/>
      </c>
      <c r="P121">
        <f>SUBSTITUTE(P118,"Sum of ","")</f>
        <v/>
      </c>
      <c r="Q121">
        <f>Q118</f>
        <v/>
      </c>
      <c r="T121">
        <f>SUBSTITUTE(T118,"Sum of ","")</f>
        <v/>
      </c>
      <c r="U121">
        <f>U118</f>
        <v/>
      </c>
      <c r="X121">
        <f>SUBSTITUTE(X118,"Sum of ","")</f>
        <v/>
      </c>
      <c r="Y121">
        <f>Y118</f>
        <v/>
      </c>
    </row>
    <row r="122" ht="20" customHeight="1">
      <c r="A122" s="4">
        <f>T121</f>
        <v/>
      </c>
      <c r="B122" s="6">
        <f>U121</f>
        <v/>
      </c>
      <c r="C122" s="5">
        <f>C107</f>
        <v/>
      </c>
      <c r="D122" s="23" t="inlineStr">
        <is>
          <t>Re-ins</t>
        </is>
      </c>
      <c r="E122" s="21" t="inlineStr">
        <is>
          <t>JV2</t>
        </is>
      </c>
    </row>
    <row r="123" ht="20" customHeight="1">
      <c r="A123" s="8">
        <f>X119</f>
        <v/>
      </c>
      <c r="B123" s="10">
        <f>Y119</f>
        <v/>
      </c>
      <c r="C123" s="9">
        <f>C108</f>
        <v/>
      </c>
      <c r="D123" s="23" t="inlineStr">
        <is>
          <t>Re-ins</t>
        </is>
      </c>
      <c r="E123" s="22" t="inlineStr">
        <is>
          <t>JV2</t>
        </is>
      </c>
    </row>
    <row r="124" ht="20" customHeight="1">
      <c r="A124" s="4">
        <f>X120</f>
        <v/>
      </c>
      <c r="B124" s="6">
        <f>Y120</f>
        <v/>
      </c>
      <c r="C124" s="5">
        <f>C109</f>
        <v/>
      </c>
      <c r="D124" s="23" t="inlineStr">
        <is>
          <t>Re-ins</t>
        </is>
      </c>
      <c r="E124" s="21" t="inlineStr">
        <is>
          <t>JV2</t>
        </is>
      </c>
    </row>
    <row r="125" ht="20" customHeight="1">
      <c r="A125" s="8">
        <f>X121</f>
        <v/>
      </c>
      <c r="B125" s="10">
        <f>Y121</f>
        <v/>
      </c>
      <c r="C125" s="9">
        <f>C110</f>
        <v/>
      </c>
      <c r="D125" s="23" t="inlineStr">
        <is>
          <t>Re-ins</t>
        </is>
      </c>
      <c r="E125" s="22" t="inlineStr">
        <is>
          <t>JV2</t>
        </is>
      </c>
    </row>
  </sheetData>
  <mergeCells count="10">
    <mergeCell ref="A4:E4"/>
    <mergeCell ref="A2:E2"/>
    <mergeCell ref="G19:Y19"/>
    <mergeCell ref="G98:Y98"/>
    <mergeCell ref="G79:Y79"/>
    <mergeCell ref="G49:Y49"/>
    <mergeCell ref="G64:Y64"/>
    <mergeCell ref="G113:Y113"/>
    <mergeCell ref="G4:Y4"/>
    <mergeCell ref="G34:Y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2026-08-22T04:18:06Z</dcterms:created>
  <dcterms:modified xmlns:dcterms="http://purl.org/dc/terms/" xmlns:xsi="http://www.w3.org/2001/XMLSchema-instance" xsi:type="dcterms:W3CDTF">2026-08-22T04:18:06Z</dcterms:modified>
</cp:coreProperties>
</file>